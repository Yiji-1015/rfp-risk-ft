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AX기획자료실\[38] 스마트한난 추진 관련\# 정보화 TF\04. 스마트 유지보수,자재관리 시스템 ISMP\02. 시스템 구축 용역\02. 발주시행품의 및 계약의뢰\01. 기본시행계획 보고\최종\"/>
    </mc:Choice>
  </mc:AlternateContent>
  <xr:revisionPtr revIDLastSave="0" documentId="13_ncr:1_{D213B3D0-B913-4820-9BB8-A3656B4F3162}" xr6:coauthVersionLast="47" xr6:coauthVersionMax="47" xr10:uidLastSave="{00000000-0000-0000-0000-000000000000}"/>
  <bookViews>
    <workbookView xWindow="-120" yWindow="-120" windowWidth="29040" windowHeight="15840" tabRatio="736" activeTab="3" xr2:uid="{00000000-000D-0000-FFFF-FFFF00000000}"/>
  </bookViews>
  <sheets>
    <sheet name="표지" sheetId="21" r:id="rId1"/>
    <sheet name="1. 요구사항 총괄표" sheetId="5" r:id="rId2"/>
    <sheet name="2. 요구사항 정의서" sheetId="19" r:id="rId3"/>
    <sheet name="3. 요건기술서 전체" sheetId="4" r:id="rId4"/>
    <sheet name="4. 산출물 목록" sheetId="22" r:id="rId5"/>
  </sheets>
  <definedNames>
    <definedName name="_xlnm._FilterDatabase" localSheetId="3" hidden="1">'3. 요건기술서 전체'!$A$2:$N$145</definedName>
    <definedName name="_xlnm.Print_Area" localSheetId="2">'2. 요구사항 정의서'!$A$1:$F$1136</definedName>
    <definedName name="_xlnm.Print_Titles" localSheetId="1">'1. 요구사항 총괄표'!$1:$1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4" l="1"/>
  <c r="D14" i="19"/>
  <c r="D11" i="19"/>
  <c r="D3" i="19"/>
  <c r="D2" i="19"/>
  <c r="D1107" i="19"/>
  <c r="D1115" i="19" s="1"/>
  <c r="D1106" i="19"/>
  <c r="D1114" i="19" s="1"/>
  <c r="D1122" i="19" s="1"/>
  <c r="D1130" i="19" s="1"/>
  <c r="D1035" i="19"/>
  <c r="D1043" i="19" s="1"/>
  <c r="D1034" i="19"/>
  <c r="D1042" i="19" s="1"/>
  <c r="D1050" i="19" s="1"/>
  <c r="D1058" i="19" s="1"/>
  <c r="D1066" i="19" s="1"/>
  <c r="D1074" i="19" s="1"/>
  <c r="D1082" i="19" s="1"/>
  <c r="D1090" i="19" s="1"/>
  <c r="D955" i="19"/>
  <c r="D954" i="19"/>
  <c r="D962" i="19" s="1"/>
  <c r="D970" i="19" s="1"/>
  <c r="D978" i="19" s="1"/>
  <c r="D986" i="19" s="1"/>
  <c r="D994" i="19" s="1"/>
  <c r="D1002" i="19" s="1"/>
  <c r="D1010" i="19" s="1"/>
  <c r="D1018" i="19" s="1"/>
  <c r="D939" i="19"/>
  <c r="D938" i="19"/>
  <c r="D923" i="19"/>
  <c r="D922" i="19"/>
  <c r="D891" i="19"/>
  <c r="D890" i="19"/>
  <c r="D898" i="19" s="1"/>
  <c r="D906" i="19" s="1"/>
  <c r="D859" i="19"/>
  <c r="D858" i="19"/>
  <c r="D866" i="19" s="1"/>
  <c r="D874" i="19" s="1"/>
  <c r="D803" i="19"/>
  <c r="D802" i="19"/>
  <c r="D810" i="19" s="1"/>
  <c r="D818" i="19" s="1"/>
  <c r="D826" i="19" s="1"/>
  <c r="D834" i="19" s="1"/>
  <c r="D842" i="19" s="1"/>
  <c r="D699" i="19"/>
  <c r="D698" i="19"/>
  <c r="D706" i="19" s="1"/>
  <c r="D714" i="19" s="1"/>
  <c r="D722" i="19" s="1"/>
  <c r="D730" i="19" s="1"/>
  <c r="D738" i="19" s="1"/>
  <c r="D746" i="19" s="1"/>
  <c r="D754" i="19" s="1"/>
  <c r="D762" i="19" s="1"/>
  <c r="D770" i="19" s="1"/>
  <c r="D778" i="19" s="1"/>
  <c r="D786" i="19" s="1"/>
  <c r="D595" i="19"/>
  <c r="D594" i="19"/>
  <c r="D602" i="19" s="1"/>
  <c r="D610" i="19" s="1"/>
  <c r="D618" i="19" s="1"/>
  <c r="D626" i="19" s="1"/>
  <c r="D634" i="19" s="1"/>
  <c r="D642" i="19" s="1"/>
  <c r="D650" i="19" s="1"/>
  <c r="D658" i="19" s="1"/>
  <c r="D666" i="19" s="1"/>
  <c r="D674" i="19" s="1"/>
  <c r="D682" i="19" s="1"/>
  <c r="D811" i="19" l="1"/>
  <c r="D899" i="19"/>
  <c r="D907" i="19" s="1"/>
  <c r="D963" i="19"/>
  <c r="D971" i="19" s="1"/>
  <c r="D19" i="19"/>
  <c r="D603" i="19"/>
  <c r="D867" i="19"/>
  <c r="D1123" i="19"/>
  <c r="D819" i="19"/>
  <c r="D707" i="19"/>
  <c r="D1051" i="19"/>
  <c r="D979" i="19" l="1"/>
  <c r="D611" i="19"/>
  <c r="D875" i="19"/>
  <c r="D1131" i="19"/>
  <c r="D1059" i="19"/>
  <c r="D27" i="19"/>
  <c r="D715" i="19"/>
  <c r="D827" i="19"/>
  <c r="D835" i="19" l="1"/>
  <c r="D35" i="19"/>
  <c r="D1067" i="19"/>
  <c r="D723" i="19"/>
  <c r="D619" i="19"/>
  <c r="D987" i="19"/>
  <c r="D627" i="19" l="1"/>
  <c r="D731" i="19"/>
  <c r="D995" i="19"/>
  <c r="D1075" i="19"/>
  <c r="D43" i="19"/>
  <c r="D843" i="19"/>
  <c r="D51" i="19" l="1"/>
  <c r="D1003" i="19"/>
  <c r="D739" i="19"/>
  <c r="D1083" i="19"/>
  <c r="D635" i="19"/>
  <c r="D1011" i="19" l="1"/>
  <c r="D747" i="19"/>
  <c r="D643" i="19"/>
  <c r="D1091" i="19"/>
  <c r="D59" i="19"/>
  <c r="D67" i="19" l="1"/>
  <c r="D651" i="19"/>
  <c r="D755" i="19"/>
  <c r="D1019" i="19"/>
  <c r="D75" i="19" l="1"/>
  <c r="D763" i="19"/>
  <c r="D659" i="19"/>
  <c r="D771" i="19" l="1"/>
  <c r="D667" i="19"/>
  <c r="D83" i="19"/>
  <c r="D779" i="19" l="1"/>
  <c r="D91" i="19"/>
  <c r="D675" i="19"/>
  <c r="D99" i="19" l="1"/>
  <c r="D787" i="19"/>
  <c r="D683" i="19"/>
  <c r="D107" i="19" l="1"/>
  <c r="D115" i="19" l="1"/>
  <c r="D123" i="19" l="1"/>
  <c r="D131" i="19" l="1"/>
  <c r="D139" i="19" l="1"/>
  <c r="D147" i="19" l="1"/>
  <c r="D155" i="19" l="1"/>
  <c r="D163" i="19" l="1"/>
  <c r="D171" i="19" l="1"/>
  <c r="D179" i="19" l="1"/>
  <c r="D187" i="19" l="1"/>
  <c r="D195" i="19" l="1"/>
  <c r="D203" i="19" l="1"/>
  <c r="D211" i="19" l="1"/>
  <c r="D219" i="19" l="1"/>
  <c r="D227" i="19" l="1"/>
  <c r="D235" i="19" l="1"/>
  <c r="D243" i="19" l="1"/>
  <c r="D251" i="19" l="1"/>
  <c r="D259" i="19" l="1"/>
  <c r="D267" i="19" l="1"/>
  <c r="D275" i="19" l="1"/>
  <c r="D283" i="19" l="1"/>
  <c r="D291" i="19" l="1"/>
  <c r="D299" i="19" l="1"/>
  <c r="D307" i="19" l="1"/>
  <c r="D315" i="19" l="1"/>
  <c r="D323" i="19" l="1"/>
  <c r="D331" i="19" l="1"/>
  <c r="D339" i="19" l="1"/>
  <c r="D347" i="19" l="1"/>
  <c r="D355" i="19" l="1"/>
  <c r="D363" i="19" l="1"/>
  <c r="D371" i="19" l="1"/>
  <c r="D379" i="19" l="1"/>
  <c r="D387" i="19" l="1"/>
  <c r="D395" i="19" l="1"/>
  <c r="D403" i="19" l="1"/>
  <c r="D411" i="19" l="1"/>
  <c r="D419" i="19" l="1"/>
  <c r="D427" i="19" l="1"/>
  <c r="D435" i="19" l="1"/>
  <c r="D443" i="19" l="1"/>
  <c r="D451" i="19" l="1"/>
  <c r="D459" i="19" l="1"/>
  <c r="D467" i="19" l="1"/>
  <c r="D475" i="19" l="1"/>
  <c r="D483" i="19" l="1"/>
  <c r="D491" i="19" l="1"/>
  <c r="D499" i="19" l="1"/>
  <c r="D507" i="19" l="1"/>
  <c r="D515" i="19" l="1"/>
  <c r="D523" i="19" l="1"/>
  <c r="D531" i="19" l="1"/>
  <c r="D539" i="19" l="1"/>
  <c r="D547" i="19" l="1"/>
  <c r="D555" i="19" l="1"/>
  <c r="D563" i="19" l="1"/>
  <c r="D571" i="19" l="1"/>
  <c r="D579" i="19" l="1"/>
  <c r="B145" i="4" l="1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D918" i="19" l="1"/>
  <c r="D598" i="19"/>
  <c r="F579" i="19"/>
  <c r="D1136" i="19"/>
  <c r="F1130" i="19"/>
  <c r="F1123" i="19"/>
  <c r="D1116" i="19"/>
  <c r="D1109" i="19"/>
  <c r="D1102" i="19"/>
  <c r="D1095" i="19"/>
  <c r="D1088" i="19"/>
  <c r="F1082" i="19"/>
  <c r="F1075" i="19"/>
  <c r="D1068" i="19"/>
  <c r="D1061" i="19"/>
  <c r="D1054" i="19"/>
  <c r="D1047" i="19"/>
  <c r="D1040" i="19"/>
  <c r="F1034" i="19"/>
  <c r="F1027" i="19"/>
  <c r="D1020" i="19"/>
  <c r="D1013" i="19"/>
  <c r="D1006" i="19"/>
  <c r="D999" i="19"/>
  <c r="D992" i="19"/>
  <c r="F986" i="19"/>
  <c r="F979" i="19"/>
  <c r="D972" i="19"/>
  <c r="D965" i="19"/>
  <c r="D958" i="19"/>
  <c r="D951" i="19"/>
  <c r="D944" i="19"/>
  <c r="F938" i="19"/>
  <c r="F931" i="19"/>
  <c r="D924" i="19"/>
  <c r="D917" i="19"/>
  <c r="D910" i="19"/>
  <c r="D903" i="19"/>
  <c r="D896" i="19"/>
  <c r="F890" i="19"/>
  <c r="F883" i="19"/>
  <c r="D876" i="19"/>
  <c r="D869" i="19"/>
  <c r="D862" i="19"/>
  <c r="D855" i="19"/>
  <c r="D848" i="19"/>
  <c r="F842" i="19"/>
  <c r="F835" i="19"/>
  <c r="D828" i="19"/>
  <c r="D821" i="19"/>
  <c r="D814" i="19"/>
  <c r="D807" i="19"/>
  <c r="D800" i="19"/>
  <c r="F794" i="19"/>
  <c r="F787" i="19"/>
  <c r="D780" i="19"/>
  <c r="D773" i="19"/>
  <c r="D766" i="19"/>
  <c r="D759" i="19"/>
  <c r="D752" i="19"/>
  <c r="F746" i="19"/>
  <c r="F739" i="19"/>
  <c r="D732" i="19"/>
  <c r="D725" i="19"/>
  <c r="D718" i="19"/>
  <c r="D711" i="19"/>
  <c r="D704" i="19"/>
  <c r="F698" i="19"/>
  <c r="F691" i="19"/>
  <c r="D684" i="19"/>
  <c r="D1135" i="19"/>
  <c r="D1128" i="19"/>
  <c r="F1122" i="19"/>
  <c r="F1115" i="19"/>
  <c r="D1108" i="19"/>
  <c r="D1101" i="19"/>
  <c r="D1094" i="19"/>
  <c r="D1087" i="19"/>
  <c r="D1080" i="19"/>
  <c r="F1074" i="19"/>
  <c r="F1067" i="19"/>
  <c r="D1060" i="19"/>
  <c r="D1053" i="19"/>
  <c r="D1046" i="19"/>
  <c r="D1039" i="19"/>
  <c r="D1032" i="19"/>
  <c r="F1026" i="19"/>
  <c r="F1019" i="19"/>
  <c r="D1012" i="19"/>
  <c r="D1005" i="19"/>
  <c r="D998" i="19"/>
  <c r="D991" i="19"/>
  <c r="D984" i="19"/>
  <c r="F978" i="19"/>
  <c r="F971" i="19"/>
  <c r="D964" i="19"/>
  <c r="D957" i="19"/>
  <c r="D950" i="19"/>
  <c r="D943" i="19"/>
  <c r="D936" i="19"/>
  <c r="F930" i="19"/>
  <c r="F923" i="19"/>
  <c r="D916" i="19"/>
  <c r="D909" i="19"/>
  <c r="D902" i="19"/>
  <c r="D895" i="19"/>
  <c r="D888" i="19"/>
  <c r="F882" i="19"/>
  <c r="F875" i="19"/>
  <c r="D868" i="19"/>
  <c r="D861" i="19"/>
  <c r="D854" i="19"/>
  <c r="D847" i="19"/>
  <c r="D840" i="19"/>
  <c r="F834" i="19"/>
  <c r="F827" i="19"/>
  <c r="D820" i="19"/>
  <c r="D813" i="19"/>
  <c r="D806" i="19"/>
  <c r="D799" i="19"/>
  <c r="D792" i="19"/>
  <c r="F786" i="19"/>
  <c r="F779" i="19"/>
  <c r="D772" i="19"/>
  <c r="D765" i="19"/>
  <c r="D758" i="19"/>
  <c r="D751" i="19"/>
  <c r="D744" i="19"/>
  <c r="F738" i="19"/>
  <c r="F731" i="19"/>
  <c r="D724" i="19"/>
  <c r="D717" i="19"/>
  <c r="D710" i="19"/>
  <c r="D703" i="19"/>
  <c r="D696" i="19"/>
  <c r="F690" i="19"/>
  <c r="F683" i="19"/>
  <c r="D676" i="19"/>
  <c r="D669" i="19"/>
  <c r="D662" i="19"/>
  <c r="D655" i="19"/>
  <c r="D648" i="19"/>
  <c r="F642" i="19"/>
  <c r="D1134" i="19"/>
  <c r="D1127" i="19"/>
  <c r="D1120" i="19"/>
  <c r="F1114" i="19"/>
  <c r="F1107" i="19"/>
  <c r="D1100" i="19"/>
  <c r="D1093" i="19"/>
  <c r="D1086" i="19"/>
  <c r="D1079" i="19"/>
  <c r="D1072" i="19"/>
  <c r="F1066" i="19"/>
  <c r="F1059" i="19"/>
  <c r="D1052" i="19"/>
  <c r="D1045" i="19"/>
  <c r="D1038" i="19"/>
  <c r="D1031" i="19"/>
  <c r="D1024" i="19"/>
  <c r="F1018" i="19"/>
  <c r="F1011" i="19"/>
  <c r="D1004" i="19"/>
  <c r="D997" i="19"/>
  <c r="D990" i="19"/>
  <c r="D983" i="19"/>
  <c r="D976" i="19"/>
  <c r="F970" i="19"/>
  <c r="F963" i="19"/>
  <c r="D956" i="19"/>
  <c r="D949" i="19"/>
  <c r="D942" i="19"/>
  <c r="D935" i="19"/>
  <c r="D928" i="19"/>
  <c r="F922" i="19"/>
  <c r="F915" i="19"/>
  <c r="D908" i="19"/>
  <c r="D901" i="19"/>
  <c r="D894" i="19"/>
  <c r="D887" i="19"/>
  <c r="D880" i="19"/>
  <c r="F874" i="19"/>
  <c r="F867" i="19"/>
  <c r="D860" i="19"/>
  <c r="D853" i="19"/>
  <c r="D846" i="19"/>
  <c r="D839" i="19"/>
  <c r="D832" i="19"/>
  <c r="F826" i="19"/>
  <c r="F819" i="19"/>
  <c r="D812" i="19"/>
  <c r="D805" i="19"/>
  <c r="D798" i="19"/>
  <c r="D791" i="19"/>
  <c r="D784" i="19"/>
  <c r="F778" i="19"/>
  <c r="F771" i="19"/>
  <c r="D764" i="19"/>
  <c r="D757" i="19"/>
  <c r="D750" i="19"/>
  <c r="D743" i="19"/>
  <c r="D736" i="19"/>
  <c r="F730" i="19"/>
  <c r="F723" i="19"/>
  <c r="D716" i="19"/>
  <c r="D709" i="19"/>
  <c r="D702" i="19"/>
  <c r="D695" i="19"/>
  <c r="D688" i="19"/>
  <c r="F682" i="19"/>
  <c r="F675" i="19"/>
  <c r="D668" i="19"/>
  <c r="D661" i="19"/>
  <c r="D654" i="19"/>
  <c r="D647" i="19"/>
  <c r="D640" i="19"/>
  <c r="F634" i="19"/>
  <c r="F627" i="19"/>
  <c r="D1133" i="19"/>
  <c r="D1126" i="19"/>
  <c r="D1119" i="19"/>
  <c r="D1112" i="19"/>
  <c r="F1106" i="19"/>
  <c r="F1099" i="19"/>
  <c r="D1092" i="19"/>
  <c r="D1085" i="19"/>
  <c r="D1078" i="19"/>
  <c r="D1071" i="19"/>
  <c r="D1064" i="19"/>
  <c r="F1058" i="19"/>
  <c r="F1051" i="19"/>
  <c r="D1044" i="19"/>
  <c r="D1037" i="19"/>
  <c r="D1030" i="19"/>
  <c r="D1023" i="19"/>
  <c r="D1016" i="19"/>
  <c r="F1010" i="19"/>
  <c r="F1003" i="19"/>
  <c r="D996" i="19"/>
  <c r="D989" i="19"/>
  <c r="D982" i="19"/>
  <c r="D975" i="19"/>
  <c r="D968" i="19"/>
  <c r="F962" i="19"/>
  <c r="F955" i="19"/>
  <c r="D948" i="19"/>
  <c r="D941" i="19"/>
  <c r="D934" i="19"/>
  <c r="D927" i="19"/>
  <c r="F914" i="19"/>
  <c r="F907" i="19"/>
  <c r="D900" i="19"/>
  <c r="D893" i="19"/>
  <c r="D886" i="19"/>
  <c r="D879" i="19"/>
  <c r="D872" i="19"/>
  <c r="F866" i="19"/>
  <c r="F859" i="19"/>
  <c r="D852" i="19"/>
  <c r="D845" i="19"/>
  <c r="D838" i="19"/>
  <c r="D831" i="19"/>
  <c r="D824" i="19"/>
  <c r="F818" i="19"/>
  <c r="F811" i="19"/>
  <c r="D804" i="19"/>
  <c r="D797" i="19"/>
  <c r="D790" i="19"/>
  <c r="D783" i="19"/>
  <c r="D776" i="19"/>
  <c r="F770" i="19"/>
  <c r="F763" i="19"/>
  <c r="D756" i="19"/>
  <c r="D749" i="19"/>
  <c r="D742" i="19"/>
  <c r="D735" i="19"/>
  <c r="D728" i="19"/>
  <c r="F722" i="19"/>
  <c r="F715" i="19"/>
  <c r="D708" i="19"/>
  <c r="D701" i="19"/>
  <c r="D694" i="19"/>
  <c r="D687" i="19"/>
  <c r="D680" i="19"/>
  <c r="F674" i="19"/>
  <c r="F667" i="19"/>
  <c r="D660" i="19"/>
  <c r="D653" i="19"/>
  <c r="D646" i="19"/>
  <c r="D639" i="19"/>
  <c r="D632" i="19"/>
  <c r="F626" i="19"/>
  <c r="F619" i="19"/>
  <c r="D612" i="19"/>
  <c r="D605" i="19"/>
  <c r="D591" i="19"/>
  <c r="D15" i="19"/>
  <c r="F1131" i="19"/>
  <c r="D1110" i="19"/>
  <c r="D1096" i="19"/>
  <c r="F1090" i="19"/>
  <c r="D1132" i="19"/>
  <c r="D1125" i="19"/>
  <c r="D1118" i="19"/>
  <c r="D1111" i="19"/>
  <c r="D1104" i="19"/>
  <c r="F1098" i="19"/>
  <c r="F1091" i="19"/>
  <c r="D1084" i="19"/>
  <c r="D1077" i="19"/>
  <c r="D1070" i="19"/>
  <c r="D1063" i="19"/>
  <c r="D1056" i="19"/>
  <c r="F1050" i="19"/>
  <c r="F1043" i="19"/>
  <c r="D1036" i="19"/>
  <c r="D1029" i="19"/>
  <c r="D1022" i="19"/>
  <c r="D1015" i="19"/>
  <c r="D1008" i="19"/>
  <c r="F1002" i="19"/>
  <c r="F995" i="19"/>
  <c r="D988" i="19"/>
  <c r="D981" i="19"/>
  <c r="D974" i="19"/>
  <c r="D967" i="19"/>
  <c r="D960" i="19"/>
  <c r="F954" i="19"/>
  <c r="F947" i="19"/>
  <c r="D940" i="19"/>
  <c r="D933" i="19"/>
  <c r="D926" i="19"/>
  <c r="D919" i="19"/>
  <c r="D912" i="19"/>
  <c r="F906" i="19"/>
  <c r="F899" i="19"/>
  <c r="D892" i="19"/>
  <c r="D885" i="19"/>
  <c r="D878" i="19"/>
  <c r="D871" i="19"/>
  <c r="D864" i="19"/>
  <c r="F858" i="19"/>
  <c r="F851" i="19"/>
  <c r="D844" i="19"/>
  <c r="D837" i="19"/>
  <c r="D830" i="19"/>
  <c r="D823" i="19"/>
  <c r="D816" i="19"/>
  <c r="F810" i="19"/>
  <c r="F803" i="19"/>
  <c r="D796" i="19"/>
  <c r="D789" i="19"/>
  <c r="D782" i="19"/>
  <c r="D775" i="19"/>
  <c r="D768" i="19"/>
  <c r="F762" i="19"/>
  <c r="F755" i="19"/>
  <c r="D748" i="19"/>
  <c r="D741" i="19"/>
  <c r="D734" i="19"/>
  <c r="D727" i="19"/>
  <c r="D720" i="19"/>
  <c r="F714" i="19"/>
  <c r="F707" i="19"/>
  <c r="D700" i="19"/>
  <c r="D693" i="19"/>
  <c r="D686" i="19"/>
  <c r="D679" i="19"/>
  <c r="D672" i="19"/>
  <c r="F666" i="19"/>
  <c r="F659" i="19"/>
  <c r="D652" i="19"/>
  <c r="D645" i="19"/>
  <c r="D638" i="19"/>
  <c r="D631" i="19"/>
  <c r="D624" i="19"/>
  <c r="F618" i="19"/>
  <c r="F611" i="19"/>
  <c r="D604" i="19"/>
  <c r="D597" i="19"/>
  <c r="D590" i="19"/>
  <c r="D13" i="19"/>
  <c r="D1124" i="19"/>
  <c r="D1117" i="19"/>
  <c r="D1103" i="19"/>
  <c r="F1083" i="19"/>
  <c r="D1076" i="19"/>
  <c r="F1035" i="19"/>
  <c r="F994" i="19"/>
  <c r="D952" i="19"/>
  <c r="D911" i="19"/>
  <c r="D870" i="19"/>
  <c r="D829" i="19"/>
  <c r="D788" i="19"/>
  <c r="F747" i="19"/>
  <c r="F706" i="19"/>
  <c r="D671" i="19"/>
  <c r="F651" i="19"/>
  <c r="F635" i="19"/>
  <c r="D621" i="19"/>
  <c r="F610" i="19"/>
  <c r="D600" i="19"/>
  <c r="D589" i="19"/>
  <c r="D4" i="19"/>
  <c r="D781" i="19"/>
  <c r="F699" i="19"/>
  <c r="F650" i="19"/>
  <c r="D620" i="19"/>
  <c r="D608" i="19"/>
  <c r="D599" i="19"/>
  <c r="D588" i="19"/>
  <c r="D664" i="19"/>
  <c r="D629" i="19"/>
  <c r="D596" i="19"/>
  <c r="D1055" i="19"/>
  <c r="F891" i="19"/>
  <c r="D808" i="19"/>
  <c r="D685" i="19"/>
  <c r="D628" i="19"/>
  <c r="F595" i="19"/>
  <c r="D1000" i="19"/>
  <c r="F795" i="19"/>
  <c r="D677" i="19"/>
  <c r="D636" i="19"/>
  <c r="D592" i="19"/>
  <c r="D1069" i="19"/>
  <c r="D1028" i="19"/>
  <c r="F987" i="19"/>
  <c r="F946" i="19"/>
  <c r="D904" i="19"/>
  <c r="D863" i="19"/>
  <c r="D822" i="19"/>
  <c r="D740" i="19"/>
  <c r="D670" i="19"/>
  <c r="D630" i="19"/>
  <c r="D607" i="19"/>
  <c r="D973" i="19"/>
  <c r="D726" i="19"/>
  <c r="F643" i="19"/>
  <c r="D606" i="19"/>
  <c r="D959" i="19"/>
  <c r="D656" i="19"/>
  <c r="F602" i="19"/>
  <c r="D1062" i="19"/>
  <c r="D1021" i="19"/>
  <c r="D980" i="19"/>
  <c r="F939" i="19"/>
  <c r="F898" i="19"/>
  <c r="D856" i="19"/>
  <c r="D815" i="19"/>
  <c r="D774" i="19"/>
  <c r="D733" i="19"/>
  <c r="D692" i="19"/>
  <c r="D644" i="19"/>
  <c r="D616" i="19"/>
  <c r="F587" i="19"/>
  <c r="D1014" i="19"/>
  <c r="D932" i="19"/>
  <c r="F850" i="19"/>
  <c r="D767" i="19"/>
  <c r="D663" i="19"/>
  <c r="D615" i="19"/>
  <c r="F586" i="19"/>
  <c r="D712" i="19"/>
  <c r="D613" i="19"/>
  <c r="D1048" i="19"/>
  <c r="D1007" i="19"/>
  <c r="D966" i="19"/>
  <c r="D925" i="19"/>
  <c r="D884" i="19"/>
  <c r="F843" i="19"/>
  <c r="F802" i="19"/>
  <c r="D760" i="19"/>
  <c r="D719" i="19"/>
  <c r="D678" i="19"/>
  <c r="F658" i="19"/>
  <c r="D637" i="19"/>
  <c r="D623" i="19"/>
  <c r="D614" i="19"/>
  <c r="F603" i="19"/>
  <c r="F594" i="19"/>
  <c r="F1042" i="19"/>
  <c r="D877" i="19"/>
  <c r="D836" i="19"/>
  <c r="F754" i="19"/>
  <c r="D622" i="19"/>
  <c r="D5" i="19"/>
  <c r="D6" i="19"/>
  <c r="D7" i="19"/>
  <c r="F2" i="19"/>
  <c r="F11" i="19"/>
  <c r="D8" i="19"/>
  <c r="D16" i="19"/>
  <c r="F10" i="19"/>
  <c r="D12" i="19"/>
  <c r="F3" i="19"/>
  <c r="F19" i="19"/>
  <c r="D23" i="19"/>
  <c r="D24" i="19"/>
  <c r="D21" i="19"/>
  <c r="F18" i="19"/>
  <c r="D20" i="19"/>
  <c r="D22" i="19"/>
  <c r="D32" i="19"/>
  <c r="D30" i="19"/>
  <c r="D29" i="19"/>
  <c r="D31" i="19"/>
  <c r="F26" i="19"/>
  <c r="D28" i="19"/>
  <c r="F27" i="19"/>
  <c r="D39" i="19"/>
  <c r="D36" i="19"/>
  <c r="D37" i="19"/>
  <c r="F35" i="19"/>
  <c r="D38" i="19"/>
  <c r="F34" i="19"/>
  <c r="D40" i="19"/>
  <c r="D46" i="19"/>
  <c r="D45" i="19"/>
  <c r="D47" i="19"/>
  <c r="F43" i="19"/>
  <c r="F42" i="19"/>
  <c r="D44" i="19"/>
  <c r="D53" i="19"/>
  <c r="F51" i="19"/>
  <c r="F50" i="19"/>
  <c r="D54" i="19"/>
  <c r="D52" i="19"/>
  <c r="D55" i="19"/>
  <c r="D60" i="19"/>
  <c r="D61" i="19"/>
  <c r="F59" i="19"/>
  <c r="D63" i="19"/>
  <c r="D62" i="19"/>
  <c r="F58" i="19"/>
  <c r="F67" i="19"/>
  <c r="D71" i="19"/>
  <c r="D69" i="19"/>
  <c r="D70" i="19"/>
  <c r="D68" i="19"/>
  <c r="F66" i="19"/>
  <c r="D72" i="19"/>
  <c r="D77" i="19"/>
  <c r="D76" i="19"/>
  <c r="D78" i="19"/>
  <c r="F75" i="19"/>
  <c r="F74" i="19"/>
  <c r="D79" i="19"/>
  <c r="D87" i="19"/>
  <c r="D85" i="19"/>
  <c r="F83" i="19"/>
  <c r="D86" i="19"/>
  <c r="D88" i="19"/>
  <c r="D84" i="19"/>
  <c r="F82" i="19"/>
  <c r="D94" i="19"/>
  <c r="D92" i="19"/>
  <c r="D93" i="19"/>
  <c r="D96" i="19"/>
  <c r="F90" i="19"/>
  <c r="D95" i="19"/>
  <c r="F91" i="19"/>
  <c r="D101" i="19"/>
  <c r="F99" i="19"/>
  <c r="D103" i="19"/>
  <c r="F98" i="19"/>
  <c r="D100" i="19"/>
  <c r="D102" i="19"/>
  <c r="D108" i="19"/>
  <c r="F107" i="19"/>
  <c r="D110" i="19"/>
  <c r="D109" i="19"/>
  <c r="F106" i="19"/>
  <c r="D111" i="19"/>
  <c r="F115" i="19"/>
  <c r="D119" i="19"/>
  <c r="D117" i="19"/>
  <c r="D118" i="19"/>
  <c r="D116" i="19"/>
  <c r="F114" i="19"/>
  <c r="D128" i="19"/>
  <c r="F123" i="19"/>
  <c r="F122" i="19"/>
  <c r="D127" i="19"/>
  <c r="D126" i="19"/>
  <c r="D124" i="19"/>
  <c r="D125" i="19"/>
  <c r="D135" i="19"/>
  <c r="D133" i="19"/>
  <c r="D134" i="19"/>
  <c r="F131" i="19"/>
  <c r="D132" i="19"/>
  <c r="F130" i="19"/>
  <c r="D136" i="19"/>
  <c r="D142" i="19"/>
  <c r="D140" i="19"/>
  <c r="D141" i="19"/>
  <c r="F138" i="19"/>
  <c r="D143" i="19"/>
  <c r="F139" i="19"/>
  <c r="D149" i="19"/>
  <c r="D151" i="19"/>
  <c r="F146" i="19"/>
  <c r="D150" i="19"/>
  <c r="D148" i="19"/>
  <c r="F147" i="19"/>
  <c r="D156" i="19"/>
  <c r="F155" i="19"/>
  <c r="D158" i="19"/>
  <c r="D159" i="19"/>
  <c r="D157" i="19"/>
  <c r="D160" i="19"/>
  <c r="F154" i="19"/>
  <c r="F163" i="19"/>
  <c r="D164" i="19"/>
  <c r="F162" i="19"/>
  <c r="D165" i="19"/>
  <c r="D167" i="19"/>
  <c r="D168" i="19"/>
  <c r="D166" i="19"/>
  <c r="D176" i="19"/>
  <c r="D174" i="19"/>
  <c r="F170" i="19"/>
  <c r="D175" i="19"/>
  <c r="D173" i="19"/>
  <c r="F171" i="19"/>
  <c r="D172" i="19"/>
  <c r="D183" i="19"/>
  <c r="F178" i="19"/>
  <c r="D181" i="19"/>
  <c r="D182" i="19"/>
  <c r="F179" i="19"/>
  <c r="D180" i="19"/>
  <c r="D184" i="19"/>
  <c r="D190" i="19"/>
  <c r="D189" i="19"/>
  <c r="D192" i="19"/>
  <c r="F186" i="19"/>
  <c r="F187" i="19"/>
  <c r="D191" i="19"/>
  <c r="D188" i="19"/>
  <c r="D197" i="19"/>
  <c r="F195" i="19"/>
  <c r="D196" i="19"/>
  <c r="D200" i="19"/>
  <c r="D199" i="19"/>
  <c r="D198" i="19"/>
  <c r="F194" i="19"/>
  <c r="D204" i="19"/>
  <c r="D207" i="19"/>
  <c r="F203" i="19"/>
  <c r="D206" i="19"/>
  <c r="D208" i="19"/>
  <c r="D205" i="19"/>
  <c r="F202" i="19"/>
  <c r="F211" i="19"/>
  <c r="D215" i="19"/>
  <c r="F210" i="19"/>
  <c r="D213" i="19"/>
  <c r="D214" i="19"/>
  <c r="D212" i="19"/>
  <c r="D216" i="19"/>
  <c r="D224" i="19"/>
  <c r="F218" i="19"/>
  <c r="D223" i="19"/>
  <c r="D220" i="19"/>
  <c r="D222" i="19"/>
  <c r="D221" i="19"/>
  <c r="F219" i="19"/>
  <c r="D231" i="19"/>
  <c r="D229" i="19"/>
  <c r="D230" i="19"/>
  <c r="F227" i="19"/>
  <c r="D228" i="19"/>
  <c r="F226" i="19"/>
  <c r="D232" i="19"/>
  <c r="D238" i="19"/>
  <c r="D236" i="19"/>
  <c r="D237" i="19"/>
  <c r="D240" i="19"/>
  <c r="F235" i="19"/>
  <c r="D239" i="19"/>
  <c r="F234" i="19"/>
  <c r="D245" i="19"/>
  <c r="D244" i="19"/>
  <c r="D247" i="19"/>
  <c r="F242" i="19"/>
  <c r="D248" i="19"/>
  <c r="D246" i="19"/>
  <c r="F243" i="19"/>
  <c r="D252" i="19"/>
  <c r="D256" i="19"/>
  <c r="D254" i="19"/>
  <c r="D255" i="19"/>
  <c r="D253" i="19"/>
  <c r="F251" i="19"/>
  <c r="F250" i="19"/>
  <c r="F259" i="19"/>
  <c r="D260" i="19"/>
  <c r="D261" i="19"/>
  <c r="D263" i="19"/>
  <c r="D262" i="19"/>
  <c r="D264" i="19"/>
  <c r="F258" i="19"/>
  <c r="D272" i="19"/>
  <c r="F266" i="19"/>
  <c r="D271" i="19"/>
  <c r="D269" i="19"/>
  <c r="F267" i="19"/>
  <c r="D270" i="19"/>
  <c r="D268" i="19"/>
  <c r="D276" i="19"/>
  <c r="D280" i="19"/>
  <c r="F274" i="19"/>
  <c r="D279" i="19"/>
  <c r="D277" i="19"/>
  <c r="D278" i="19"/>
  <c r="F275" i="19"/>
  <c r="D285" i="19"/>
  <c r="D288" i="19"/>
  <c r="F282" i="19"/>
  <c r="F283" i="19"/>
  <c r="D287" i="19"/>
  <c r="D286" i="19"/>
  <c r="D284" i="19"/>
  <c r="D293" i="19"/>
  <c r="F290" i="19"/>
  <c r="D292" i="19"/>
  <c r="D295" i="19"/>
  <c r="D296" i="19"/>
  <c r="D294" i="19"/>
  <c r="F291" i="19"/>
  <c r="D300" i="19"/>
  <c r="F298" i="19"/>
  <c r="F299" i="19"/>
  <c r="D302" i="19"/>
  <c r="D304" i="19"/>
  <c r="D303" i="19"/>
  <c r="D301" i="19"/>
  <c r="F307" i="19"/>
  <c r="D311" i="19"/>
  <c r="D312" i="19"/>
  <c r="F306" i="19"/>
  <c r="D309" i="19"/>
  <c r="D310" i="19"/>
  <c r="D308" i="19"/>
  <c r="D320" i="19"/>
  <c r="D317" i="19"/>
  <c r="F314" i="19"/>
  <c r="D319" i="19"/>
  <c r="D316" i="19"/>
  <c r="D318" i="19"/>
  <c r="F315" i="19"/>
  <c r="D327" i="19"/>
  <c r="D326" i="19"/>
  <c r="F323" i="19"/>
  <c r="D324" i="19"/>
  <c r="D328" i="19"/>
  <c r="D325" i="19"/>
  <c r="F322" i="19"/>
  <c r="D334" i="19"/>
  <c r="F331" i="19"/>
  <c r="D333" i="19"/>
  <c r="D336" i="19"/>
  <c r="F330" i="19"/>
  <c r="D332" i="19"/>
  <c r="D335" i="19"/>
  <c r="D341" i="19"/>
  <c r="F339" i="19"/>
  <c r="D340" i="19"/>
  <c r="F338" i="19"/>
  <c r="D344" i="19"/>
  <c r="D342" i="19"/>
  <c r="D343" i="19"/>
  <c r="D348" i="19"/>
  <c r="D352" i="19"/>
  <c r="D350" i="19"/>
  <c r="F346" i="19"/>
  <c r="F347" i="19"/>
  <c r="D351" i="19"/>
  <c r="D349" i="19"/>
  <c r="F355" i="19"/>
  <c r="D356" i="19"/>
  <c r="D360" i="19"/>
  <c r="F354" i="19"/>
  <c r="D357" i="19"/>
  <c r="D358" i="19"/>
  <c r="D359" i="19"/>
  <c r="D368" i="19"/>
  <c r="D366" i="19"/>
  <c r="F362" i="19"/>
  <c r="D367" i="19"/>
  <c r="D364" i="19"/>
  <c r="D365" i="19"/>
  <c r="F363" i="19"/>
  <c r="D375" i="19"/>
  <c r="F370" i="19"/>
  <c r="D374" i="19"/>
  <c r="F371" i="19"/>
  <c r="D376" i="19"/>
  <c r="D372" i="19"/>
  <c r="D373" i="19"/>
  <c r="D382" i="19"/>
  <c r="D380" i="19"/>
  <c r="D381" i="19"/>
  <c r="D384" i="19"/>
  <c r="F378" i="19"/>
  <c r="F379" i="19"/>
  <c r="D383" i="19"/>
  <c r="D389" i="19"/>
  <c r="D390" i="19"/>
  <c r="D392" i="19"/>
  <c r="F387" i="19"/>
  <c r="F386" i="19"/>
  <c r="D388" i="19"/>
  <c r="D391" i="19"/>
  <c r="D396" i="19"/>
  <c r="F394" i="19"/>
  <c r="F395" i="19"/>
  <c r="D398" i="19"/>
  <c r="D400" i="19"/>
  <c r="D397" i="19"/>
  <c r="D399" i="19"/>
  <c r="F403" i="19"/>
  <c r="D406" i="19"/>
  <c r="D408" i="19"/>
  <c r="F402" i="19"/>
  <c r="D405" i="19"/>
  <c r="D404" i="19"/>
  <c r="D407" i="19"/>
  <c r="D416" i="19"/>
  <c r="D413" i="19"/>
  <c r="D415" i="19"/>
  <c r="D412" i="19"/>
  <c r="F411" i="19"/>
  <c r="D414" i="19"/>
  <c r="F410" i="19"/>
  <c r="D423" i="19"/>
  <c r="D420" i="19"/>
  <c r="F419" i="19"/>
  <c r="D424" i="19"/>
  <c r="D421" i="19"/>
  <c r="D422" i="19"/>
  <c r="F418" i="19"/>
  <c r="D430" i="19"/>
  <c r="F427" i="19"/>
  <c r="D429" i="19"/>
  <c r="D432" i="19"/>
  <c r="F426" i="19"/>
  <c r="D431" i="19"/>
  <c r="D428" i="19"/>
  <c r="D437" i="19"/>
  <c r="F434" i="19"/>
  <c r="D439" i="19"/>
  <c r="D438" i="19"/>
  <c r="D440" i="19"/>
  <c r="F435" i="19"/>
  <c r="D436" i="19"/>
  <c r="D444" i="19"/>
  <c r="F442" i="19"/>
  <c r="F443" i="19"/>
  <c r="D446" i="19"/>
  <c r="D445" i="19"/>
  <c r="D448" i="19"/>
  <c r="D447" i="19"/>
  <c r="F451" i="19"/>
  <c r="D454" i="19"/>
  <c r="D456" i="19"/>
  <c r="F450" i="19"/>
  <c r="D452" i="19"/>
  <c r="D453" i="19"/>
  <c r="D455" i="19"/>
  <c r="D464" i="19"/>
  <c r="D462" i="19"/>
  <c r="D463" i="19"/>
  <c r="D460" i="19"/>
  <c r="F459" i="19"/>
  <c r="D461" i="19"/>
  <c r="F458" i="19"/>
  <c r="D471" i="19"/>
  <c r="D468" i="19"/>
  <c r="D470" i="19"/>
  <c r="F467" i="19"/>
  <c r="F466" i="19"/>
  <c r="D469" i="19"/>
  <c r="D472" i="19"/>
  <c r="D478" i="19"/>
  <c r="F475" i="19"/>
  <c r="D480" i="19"/>
  <c r="F474" i="19"/>
  <c r="D479" i="19"/>
  <c r="D476" i="19"/>
  <c r="D477" i="19"/>
  <c r="D485" i="19"/>
  <c r="F482" i="19"/>
  <c r="D484" i="19"/>
  <c r="D487" i="19"/>
  <c r="D486" i="19"/>
  <c r="D488" i="19"/>
  <c r="F483" i="19"/>
  <c r="D492" i="19"/>
  <c r="D495" i="19"/>
  <c r="F491" i="19"/>
  <c r="D494" i="19"/>
  <c r="F490" i="19"/>
  <c r="D496" i="19"/>
  <c r="D493" i="19"/>
  <c r="F499" i="19"/>
  <c r="D502" i="19"/>
  <c r="F498" i="19"/>
  <c r="D501" i="19"/>
  <c r="D500" i="19"/>
  <c r="D503" i="19"/>
  <c r="D504" i="19"/>
  <c r="D512" i="19"/>
  <c r="D509" i="19"/>
  <c r="D511" i="19"/>
  <c r="D508" i="19"/>
  <c r="F507" i="19"/>
  <c r="F506" i="19"/>
  <c r="D510" i="19"/>
  <c r="D519" i="19"/>
  <c r="D516" i="19"/>
  <c r="D518" i="19"/>
  <c r="F515" i="19"/>
  <c r="F514" i="19"/>
  <c r="D517" i="19"/>
  <c r="D520" i="19"/>
  <c r="D526" i="19"/>
  <c r="D524" i="19"/>
  <c r="D528" i="19"/>
  <c r="D527" i="19"/>
  <c r="D525" i="19"/>
  <c r="F522" i="19"/>
  <c r="F523" i="19"/>
  <c r="D533" i="19"/>
  <c r="D536" i="19"/>
  <c r="D535" i="19"/>
  <c r="D534" i="19"/>
  <c r="F531" i="19"/>
  <c r="D532" i="19"/>
  <c r="F530" i="19"/>
  <c r="D540" i="19"/>
  <c r="F538" i="19"/>
  <c r="F539" i="19"/>
  <c r="D541" i="19"/>
  <c r="D543" i="19"/>
  <c r="D544" i="19"/>
  <c r="D542" i="19"/>
  <c r="F547" i="19"/>
  <c r="D550" i="19"/>
  <c r="F546" i="19"/>
  <c r="D549" i="19"/>
  <c r="D548" i="19"/>
  <c r="D552" i="19"/>
  <c r="D551" i="19"/>
  <c r="D560" i="19"/>
  <c r="D557" i="19"/>
  <c r="D559" i="19"/>
  <c r="D556" i="19"/>
  <c r="F555" i="19"/>
  <c r="F554" i="19"/>
  <c r="D558" i="19"/>
  <c r="D567" i="19"/>
  <c r="D565" i="19"/>
  <c r="F563" i="19"/>
  <c r="D568" i="19"/>
  <c r="F562" i="19"/>
  <c r="D566" i="19"/>
  <c r="D564" i="19"/>
  <c r="D574" i="19"/>
  <c r="F571" i="19"/>
  <c r="D573" i="19"/>
  <c r="D576" i="19"/>
  <c r="D575" i="19"/>
  <c r="D572" i="19"/>
  <c r="F570" i="19"/>
  <c r="D584" i="19"/>
  <c r="D582" i="19"/>
  <c r="D583" i="19"/>
  <c r="D580" i="19"/>
  <c r="F578" i="19"/>
  <c r="D581" i="19"/>
  <c r="D76" i="4"/>
  <c r="C22" i="4" l="1"/>
  <c r="D152" i="19" s="1"/>
  <c r="C18" i="4"/>
  <c r="D120" i="19" s="1"/>
  <c r="D145" i="4" l="1"/>
  <c r="D89" i="4"/>
  <c r="D88" i="4"/>
  <c r="D87" i="4"/>
  <c r="D86" i="4"/>
  <c r="D85" i="4"/>
  <c r="D84" i="4"/>
  <c r="D108" i="5"/>
  <c r="D102" i="5"/>
  <c r="D96" i="5"/>
  <c r="D90" i="5"/>
  <c r="D78" i="5"/>
  <c r="D71" i="5"/>
  <c r="D65" i="5"/>
  <c r="D59" i="5"/>
  <c r="D53" i="5"/>
  <c r="D47" i="5"/>
  <c r="D41" i="5"/>
  <c r="D35" i="5"/>
  <c r="D29" i="5"/>
  <c r="D23" i="5"/>
  <c r="D17" i="5"/>
  <c r="D11" i="5"/>
  <c r="D5" i="5"/>
  <c r="D107" i="5"/>
  <c r="D101" i="5"/>
  <c r="D95" i="5"/>
  <c r="D89" i="5"/>
  <c r="D77" i="5"/>
  <c r="D70" i="5"/>
  <c r="D64" i="5"/>
  <c r="D58" i="5"/>
  <c r="D52" i="5"/>
  <c r="D46" i="5"/>
  <c r="D40" i="5"/>
  <c r="D34" i="5"/>
  <c r="D28" i="5"/>
  <c r="D22" i="5"/>
  <c r="D16" i="5"/>
  <c r="D10" i="5"/>
  <c r="D4" i="5"/>
  <c r="D106" i="5"/>
  <c r="D100" i="5"/>
  <c r="D94" i="5"/>
  <c r="D88" i="5"/>
  <c r="D76" i="5"/>
  <c r="D69" i="5"/>
  <c r="D63" i="5"/>
  <c r="D57" i="5"/>
  <c r="D51" i="5"/>
  <c r="D45" i="5"/>
  <c r="D39" i="5"/>
  <c r="D33" i="5"/>
  <c r="D27" i="5"/>
  <c r="D21" i="5"/>
  <c r="D15" i="5"/>
  <c r="D9" i="5"/>
  <c r="D3" i="5"/>
  <c r="D111" i="5"/>
  <c r="D105" i="5"/>
  <c r="D99" i="5"/>
  <c r="D93" i="5"/>
  <c r="D75" i="5"/>
  <c r="D68" i="5"/>
  <c r="D62" i="5"/>
  <c r="D56" i="5"/>
  <c r="D50" i="5"/>
  <c r="D44" i="5"/>
  <c r="D38" i="5"/>
  <c r="D32" i="5"/>
  <c r="D26" i="5"/>
  <c r="D20" i="5"/>
  <c r="D14" i="5"/>
  <c r="D8" i="5"/>
  <c r="D2" i="5"/>
  <c r="D110" i="5"/>
  <c r="D104" i="5"/>
  <c r="D98" i="5"/>
  <c r="D92" i="5"/>
  <c r="D80" i="5"/>
  <c r="D73" i="5"/>
  <c r="D67" i="5"/>
  <c r="D61" i="5"/>
  <c r="D55" i="5"/>
  <c r="D49" i="5"/>
  <c r="D43" i="5"/>
  <c r="D37" i="5"/>
  <c r="D31" i="5"/>
  <c r="D25" i="5"/>
  <c r="D19" i="5"/>
  <c r="D13" i="5"/>
  <c r="D7" i="5"/>
  <c r="D109" i="5"/>
  <c r="D103" i="5"/>
  <c r="D97" i="5"/>
  <c r="D91" i="5"/>
  <c r="D79" i="5"/>
  <c r="D72" i="5"/>
  <c r="D66" i="5"/>
  <c r="D60" i="5"/>
  <c r="D54" i="5"/>
  <c r="D48" i="5"/>
  <c r="D42" i="5"/>
  <c r="D36" i="5"/>
  <c r="D30" i="5"/>
  <c r="D24" i="5"/>
  <c r="D18" i="5"/>
  <c r="D12" i="5"/>
  <c r="D6" i="5"/>
  <c r="D142" i="5"/>
  <c r="D136" i="5"/>
  <c r="D130" i="5"/>
  <c r="D124" i="5"/>
  <c r="D118" i="5"/>
  <c r="D112" i="5"/>
  <c r="D141" i="5"/>
  <c r="D135" i="5"/>
  <c r="D129" i="5"/>
  <c r="D123" i="5"/>
  <c r="D117" i="5"/>
  <c r="D140" i="5"/>
  <c r="D134" i="5"/>
  <c r="D128" i="5"/>
  <c r="D122" i="5"/>
  <c r="D116" i="5"/>
  <c r="D139" i="5"/>
  <c r="D133" i="5"/>
  <c r="D127" i="5"/>
  <c r="D121" i="5"/>
  <c r="D115" i="5"/>
  <c r="D138" i="5"/>
  <c r="D132" i="5"/>
  <c r="D126" i="5"/>
  <c r="D120" i="5"/>
  <c r="D114" i="5"/>
  <c r="D137" i="5"/>
  <c r="D131" i="5"/>
  <c r="D125" i="5"/>
  <c r="D119" i="5"/>
  <c r="D113" i="5"/>
  <c r="D102" i="4"/>
  <c r="D99" i="4"/>
  <c r="D94" i="4"/>
  <c r="D93" i="4"/>
  <c r="D101" i="4"/>
  <c r="D98" i="4"/>
  <c r="D92" i="4"/>
  <c r="D97" i="4"/>
  <c r="D91" i="4"/>
  <c r="D100" i="4"/>
  <c r="D96" i="4"/>
  <c r="D90" i="4"/>
  <c r="D95" i="4"/>
  <c r="D74" i="4"/>
  <c r="D52" i="4"/>
  <c r="D54" i="4"/>
  <c r="D71" i="4"/>
  <c r="D58" i="4"/>
  <c r="D51" i="4"/>
  <c r="D66" i="4"/>
  <c r="D57" i="4"/>
  <c r="D61" i="4"/>
  <c r="D69" i="4"/>
  <c r="D64" i="4"/>
  <c r="D56" i="4"/>
  <c r="D73" i="4"/>
  <c r="D60" i="4"/>
  <c r="D53" i="4"/>
  <c r="D59" i="4"/>
  <c r="D65" i="4"/>
  <c r="D49" i="4"/>
  <c r="D70" i="4"/>
  <c r="D55" i="4"/>
  <c r="D62" i="4"/>
  <c r="D72" i="4"/>
  <c r="D63" i="4"/>
  <c r="D68" i="4"/>
  <c r="D50" i="4"/>
  <c r="D67" i="4"/>
  <c r="D75" i="4"/>
  <c r="C10" i="4"/>
  <c r="D56" i="19" s="1"/>
  <c r="D920" i="19"/>
  <c r="D28" i="4"/>
  <c r="D109" i="4"/>
  <c r="D103" i="4"/>
  <c r="D104" i="4"/>
  <c r="D105" i="4"/>
  <c r="D106" i="4"/>
  <c r="D107" i="4"/>
  <c r="D108" i="4"/>
  <c r="D119" i="4"/>
  <c r="C13" i="4"/>
  <c r="D80" i="19" s="1"/>
  <c r="D120" i="4"/>
  <c r="D82" i="4"/>
  <c r="D121" i="4"/>
  <c r="D83" i="4"/>
  <c r="D81" i="4"/>
  <c r="D80" i="4"/>
  <c r="D79" i="4"/>
  <c r="C11" i="4"/>
  <c r="D64" i="19" s="1"/>
  <c r="C9" i="4"/>
  <c r="D48" i="19" s="1"/>
  <c r="C16" i="4"/>
  <c r="D104" i="19" s="1"/>
  <c r="C17" i="4"/>
  <c r="D112" i="19" s="1"/>
  <c r="C21" i="4"/>
  <c r="D144" i="19" s="1"/>
  <c r="D78" i="4" l="1"/>
  <c r="D112" i="4"/>
  <c r="D111" i="4"/>
  <c r="D113" i="4"/>
  <c r="D8" i="4"/>
  <c r="D110" i="4"/>
  <c r="D143" i="4"/>
  <c r="D144" i="4"/>
  <c r="D142" i="4"/>
  <c r="D23" i="4"/>
  <c r="D20" i="4"/>
  <c r="D17" i="4"/>
  <c r="D19" i="4"/>
  <c r="D141" i="4"/>
  <c r="D22" i="4"/>
  <c r="D15" i="4"/>
  <c r="D36" i="4"/>
  <c r="D77" i="4"/>
  <c r="D16" i="4"/>
  <c r="D25" i="4"/>
  <c r="D38" i="4"/>
  <c r="D5" i="4"/>
  <c r="D47" i="4"/>
  <c r="D37" i="4"/>
  <c r="D7" i="4"/>
  <c r="D24" i="4"/>
  <c r="D40" i="4"/>
  <c r="D27" i="4"/>
  <c r="D41" i="4"/>
  <c r="D29" i="4"/>
  <c r="D42" i="4"/>
  <c r="D6" i="4"/>
  <c r="D18" i="4"/>
  <c r="D26" i="4"/>
  <c r="D39" i="4"/>
  <c r="D43" i="4"/>
  <c r="D9" i="4"/>
  <c r="D30" i="4"/>
  <c r="D44" i="4"/>
  <c r="D10" i="4"/>
  <c r="D31" i="4"/>
  <c r="D45" i="4"/>
  <c r="D11" i="4"/>
  <c r="D32" i="4"/>
  <c r="D46" i="4"/>
  <c r="D12" i="4"/>
  <c r="D33" i="4"/>
  <c r="D48" i="4"/>
  <c r="D13" i="4"/>
  <c r="D34" i="4"/>
  <c r="D14" i="4"/>
  <c r="D35" i="4"/>
  <c r="D21" i="4"/>
  <c r="D4" i="4"/>
</calcChain>
</file>

<file path=xl/sharedStrings.xml><?xml version="1.0" encoding="utf-8"?>
<sst xmlns="http://schemas.openxmlformats.org/spreadsheetml/2006/main" count="3778" uniqueCount="1180">
  <si>
    <t>로그시트</t>
    <phoneticPr fontId="4" type="noConversion"/>
  </si>
  <si>
    <t>운전시간</t>
    <phoneticPr fontId="4" type="noConversion"/>
  </si>
  <si>
    <t>정비회의</t>
    <phoneticPr fontId="4" type="noConversion"/>
  </si>
  <si>
    <t>인계인수일지</t>
    <phoneticPr fontId="4" type="noConversion"/>
  </si>
  <si>
    <t>요구사항 분류</t>
    <phoneticPr fontId="4" type="noConversion"/>
  </si>
  <si>
    <t>공통</t>
  </si>
  <si>
    <t>정보 조회 기능</t>
    <phoneticPr fontId="4" type="noConversion"/>
  </si>
  <si>
    <t>설비관리</t>
  </si>
  <si>
    <t>PER</t>
    <phoneticPr fontId="4" type="noConversion"/>
  </si>
  <si>
    <t>SFR</t>
    <phoneticPr fontId="4" type="noConversion"/>
  </si>
  <si>
    <t>작업관리</t>
  </si>
  <si>
    <t>고장관리</t>
  </si>
  <si>
    <t>운영정보관리</t>
  </si>
  <si>
    <t>예산관리</t>
  </si>
  <si>
    <t>예방정비관리</t>
  </si>
  <si>
    <t>설비마스터 관리</t>
  </si>
  <si>
    <t>설비 BOM 관리</t>
  </si>
  <si>
    <t>DAR</t>
    <phoneticPr fontId="4" type="noConversion"/>
  </si>
  <si>
    <t>CNR</t>
    <phoneticPr fontId="4" type="noConversion"/>
  </si>
  <si>
    <t>Red Tag 관리</t>
    <phoneticPr fontId="4" type="noConversion"/>
  </si>
  <si>
    <t>공사기간관리</t>
    <phoneticPr fontId="4" type="noConversion"/>
  </si>
  <si>
    <t>공사마스터</t>
    <phoneticPr fontId="4" type="noConversion"/>
  </si>
  <si>
    <t>법정검사</t>
    <phoneticPr fontId="4" type="noConversion"/>
  </si>
  <si>
    <t>고장관리</t>
    <phoneticPr fontId="4" type="noConversion"/>
  </si>
  <si>
    <t>고장 통계</t>
    <phoneticPr fontId="4" type="noConversion"/>
  </si>
  <si>
    <t>기기점검결과보고서</t>
    <phoneticPr fontId="4" type="noConversion"/>
  </si>
  <si>
    <t>공사통보서 발행</t>
    <phoneticPr fontId="4" type="noConversion"/>
  </si>
  <si>
    <t>작업관리</t>
    <phoneticPr fontId="4" type="noConversion"/>
  </si>
  <si>
    <t>작업 통계</t>
    <phoneticPr fontId="4" type="noConversion"/>
  </si>
  <si>
    <t>자재관리(공통)</t>
    <phoneticPr fontId="4" type="noConversion"/>
  </si>
  <si>
    <t>자재관리(열량계)</t>
    <phoneticPr fontId="4" type="noConversion"/>
  </si>
  <si>
    <t>스마트도면</t>
    <phoneticPr fontId="4" type="noConversion"/>
  </si>
  <si>
    <t>SFR</t>
    <phoneticPr fontId="4" type="noConversion"/>
  </si>
  <si>
    <t>건설관리</t>
    <phoneticPr fontId="4" type="noConversion"/>
  </si>
  <si>
    <t>프로젝트 폴더</t>
    <phoneticPr fontId="4" type="noConversion"/>
  </si>
  <si>
    <t>REPLY SHEET 기능</t>
    <phoneticPr fontId="4" type="noConversion"/>
  </si>
  <si>
    <t>모바일 공통 기능</t>
    <phoneticPr fontId="4" type="noConversion"/>
  </si>
  <si>
    <t>외부 접근 제한</t>
    <phoneticPr fontId="4" type="noConversion"/>
  </si>
  <si>
    <t>계정 및 권한</t>
    <phoneticPr fontId="4" type="noConversion"/>
  </si>
  <si>
    <t>인프라 구성 표준</t>
    <phoneticPr fontId="4" type="noConversion"/>
  </si>
  <si>
    <t>작업오더 조회 및 생성</t>
    <phoneticPr fontId="4" type="noConversion"/>
  </si>
  <si>
    <t>요구사항 분류</t>
  </si>
  <si>
    <t>요구사항 고유번호</t>
  </si>
  <si>
    <t>요구사항 명칭</t>
  </si>
  <si>
    <t>요구사항 상세설명</t>
  </si>
  <si>
    <t>정의</t>
  </si>
  <si>
    <t>세부내용</t>
  </si>
  <si>
    <t>관련 요구사항</t>
  </si>
  <si>
    <t>정의</t>
    <phoneticPr fontId="4" type="noConversion"/>
  </si>
  <si>
    <t>기능위치마스터 관리</t>
    <phoneticPr fontId="4" type="noConversion"/>
  </si>
  <si>
    <t>기술자료관리</t>
    <phoneticPr fontId="4" type="noConversion"/>
  </si>
  <si>
    <t>도면, 매뉴얼, 준공도서, 사양서 등 유지보수 및 자재관리 관련 기술자료 관리</t>
    <phoneticPr fontId="4" type="noConversion"/>
  </si>
  <si>
    <t>성능 요구사항</t>
    <phoneticPr fontId="4" type="noConversion"/>
  </si>
  <si>
    <t>기능 요구사항</t>
    <phoneticPr fontId="4" type="noConversion"/>
  </si>
  <si>
    <t>컨설팅 요구사항</t>
    <phoneticPr fontId="4" type="noConversion"/>
  </si>
  <si>
    <t>TM 조회 및 발행</t>
    <phoneticPr fontId="4" type="noConversion"/>
  </si>
  <si>
    <t>TM 통계</t>
    <phoneticPr fontId="4" type="noConversion"/>
  </si>
  <si>
    <t>로그시트 조회/등록/수정/승인</t>
    <phoneticPr fontId="4" type="noConversion"/>
  </si>
  <si>
    <t>운전시간 조회/등록/수정</t>
    <phoneticPr fontId="4" type="noConversion"/>
  </si>
  <si>
    <t>정비회의 조회 및 회의자료 첨부 및 다운로드</t>
    <phoneticPr fontId="4" type="noConversion"/>
  </si>
  <si>
    <t>공사오더 조회 및 생성</t>
    <phoneticPr fontId="4" type="noConversion"/>
  </si>
  <si>
    <t>공사 작업결과 입력</t>
    <phoneticPr fontId="4" type="noConversion"/>
  </si>
  <si>
    <t>인계인수 일지 조회/등록/수정</t>
    <phoneticPr fontId="4" type="noConversion"/>
  </si>
  <si>
    <t>예산관리</t>
    <phoneticPr fontId="4" type="noConversion"/>
  </si>
  <si>
    <t>예방정비 필요 설비 조회/신규 지정, 설비별 예방정비작업 사전 설계, 일정 등록 및 작업오더 자동 발행</t>
    <phoneticPr fontId="4" type="noConversion"/>
  </si>
  <si>
    <t>스마트 도면 관리 기능(공통)</t>
    <phoneticPr fontId="4" type="noConversion"/>
  </si>
  <si>
    <t>법정검사 대상 설비 조회/신규지정, 설비별 법정검사 일정 등록 및 실적 확인</t>
    <phoneticPr fontId="4" type="noConversion"/>
  </si>
  <si>
    <t>예방점검관리</t>
    <phoneticPr fontId="4" type="noConversion"/>
  </si>
  <si>
    <t>스마트 도면 보기(View) 기능</t>
    <phoneticPr fontId="4" type="noConversion"/>
  </si>
  <si>
    <t>스마트 도면 편집(Edit) 기능</t>
    <phoneticPr fontId="4" type="noConversion"/>
  </si>
  <si>
    <t>경상정비, 공사, Red Tag, 예방점검 현황 및 운영상태 파악을 위한 작업 통계 제시</t>
    <phoneticPr fontId="4" type="noConversion"/>
  </si>
  <si>
    <t>다양한 기준에 따른 고장통계의 조회·집계·분석</t>
    <phoneticPr fontId="4" type="noConversion"/>
  </si>
  <si>
    <t>SFR</t>
    <phoneticPr fontId="4" type="noConversion"/>
  </si>
  <si>
    <t>스마트 도면 전환</t>
    <phoneticPr fontId="4" type="noConversion"/>
  </si>
  <si>
    <t>건설정보시스템 상단메뉴 메인화면 기능(프로젝트와 무관하게 상시 조회 가능한 메뉴로 구성)</t>
    <phoneticPr fontId="4" type="noConversion"/>
  </si>
  <si>
    <t>건설정보시스템 대시보드 메인화면 기능 (사용자 관련 건설정보 내 프로젝트 전반)</t>
    <phoneticPr fontId="4" type="noConversion"/>
  </si>
  <si>
    <t>프로젝트별 메인화면 중 대시보드 기능</t>
    <phoneticPr fontId="4" type="noConversion"/>
  </si>
  <si>
    <t>프로젝트별 메인화면 중 좌측메뉴 기능</t>
    <phoneticPr fontId="4" type="noConversion"/>
  </si>
  <si>
    <t>설계사 또는 건설사에 업무지시를 위한 업무지시전 등록</t>
    <phoneticPr fontId="4" type="noConversion"/>
  </si>
  <si>
    <t>처리결과에 대한 업무처리전 등록</t>
    <phoneticPr fontId="4" type="noConversion"/>
  </si>
  <si>
    <t>수발신문서의 현황 조회</t>
    <phoneticPr fontId="4" type="noConversion"/>
  </si>
  <si>
    <t>Detail Setup, Revision, Stage, Class, Process Code 등 DCL 관리</t>
    <phoneticPr fontId="4" type="noConversion"/>
  </si>
  <si>
    <t>프로젝트 폴더와 프로젝트 문서관리</t>
    <phoneticPr fontId="4" type="noConversion"/>
  </si>
  <si>
    <t>프로젝트 관리자의 기능</t>
    <phoneticPr fontId="4" type="noConversion"/>
  </si>
  <si>
    <t>검토이력 관련 정보 SHEET 제공 기능</t>
    <phoneticPr fontId="4" type="noConversion"/>
  </si>
  <si>
    <t>모바일</t>
    <phoneticPr fontId="4" type="noConversion"/>
  </si>
  <si>
    <t>한국지역난방공사</t>
    <phoneticPr fontId="4" type="noConversion"/>
  </si>
  <si>
    <t>외부(협력사/시공사 등)</t>
    <phoneticPr fontId="4" type="noConversion"/>
  </si>
  <si>
    <t>ID</t>
    <phoneticPr fontId="4" type="noConversion"/>
  </si>
  <si>
    <t>■ 시스템 기능별 세부 활동단위 정의</t>
    <phoneticPr fontId="4" type="noConversion"/>
  </si>
  <si>
    <t>요구사항 상세설명</t>
    <phoneticPr fontId="4" type="noConversion"/>
  </si>
  <si>
    <t>요구사항 고유번호</t>
    <phoneticPr fontId="4" type="noConversion"/>
  </si>
  <si>
    <t>관련 요구사항 고유번호</t>
    <phoneticPr fontId="4" type="noConversion"/>
  </si>
  <si>
    <t>관련 요구사항 명칭</t>
    <phoneticPr fontId="4" type="noConversion"/>
  </si>
  <si>
    <t>도면 및 기술자료 관리</t>
    <phoneticPr fontId="4" type="noConversion"/>
  </si>
  <si>
    <t>자재마스터 관리</t>
    <phoneticPr fontId="4" type="noConversion"/>
  </si>
  <si>
    <t>시스템 연계</t>
    <phoneticPr fontId="4" type="noConversion"/>
  </si>
  <si>
    <t>관련 시스템 연계</t>
    <phoneticPr fontId="4" type="noConversion"/>
  </si>
  <si>
    <t>산출정보</t>
    <phoneticPr fontId="4" type="noConversion"/>
  </si>
  <si>
    <t>자재관리(열원)</t>
    <phoneticPr fontId="4" type="noConversion"/>
  </si>
  <si>
    <t>SFR</t>
    <phoneticPr fontId="4" type="noConversion"/>
  </si>
  <si>
    <t>자재관리</t>
    <phoneticPr fontId="4" type="noConversion"/>
  </si>
  <si>
    <t>자재관리(공통)</t>
    <phoneticPr fontId="4" type="noConversion"/>
  </si>
  <si>
    <t>예산관리</t>
    <phoneticPr fontId="4" type="noConversion"/>
  </si>
  <si>
    <t>자재관리(열수송)</t>
    <phoneticPr fontId="4" type="noConversion"/>
  </si>
  <si>
    <t>설비마스터 및 설비그룹 관리</t>
    <phoneticPr fontId="4" type="noConversion"/>
  </si>
  <si>
    <t>설비 BOM 관리</t>
    <phoneticPr fontId="4" type="noConversion"/>
  </si>
  <si>
    <t>기능위치 관리</t>
    <phoneticPr fontId="4" type="noConversion"/>
  </si>
  <si>
    <t>자재 창고관리(공통)</t>
    <phoneticPr fontId="4" type="noConversion"/>
  </si>
  <si>
    <t>공사마스터 관리</t>
    <phoneticPr fontId="4" type="noConversion"/>
  </si>
  <si>
    <t>공사오더 관리</t>
    <phoneticPr fontId="4" type="noConversion"/>
  </si>
  <si>
    <t>표준화 방안 수립</t>
    <phoneticPr fontId="4" type="noConversion"/>
  </si>
  <si>
    <t>표준화 방법론 제시</t>
    <phoneticPr fontId="4" type="noConversion"/>
  </si>
  <si>
    <t>설비 표준체계 및 기준정보 표준화</t>
    <phoneticPr fontId="4" type="noConversion"/>
  </si>
  <si>
    <t>자재 표준체계 및 기준정보 표준화</t>
    <phoneticPr fontId="4" type="noConversion"/>
  </si>
  <si>
    <t>유지보수 설계 표준화</t>
    <phoneticPr fontId="4" type="noConversion"/>
  </si>
  <si>
    <t>설비 표준체계 정의서 및 설비 기준정보 DB</t>
    <phoneticPr fontId="4" type="noConversion"/>
  </si>
  <si>
    <t>자재 표준체계 정의서 및 자재 기준정보 DB</t>
    <phoneticPr fontId="4" type="noConversion"/>
  </si>
  <si>
    <t>SFR</t>
    <phoneticPr fontId="4" type="noConversion"/>
  </si>
  <si>
    <t>사용자 인터페이스(UI/UX)</t>
    <phoneticPr fontId="4" type="noConversion"/>
  </si>
  <si>
    <t>공통</t>
    <phoneticPr fontId="4" type="noConversion"/>
  </si>
  <si>
    <t>X</t>
    <phoneticPr fontId="4" type="noConversion"/>
  </si>
  <si>
    <t>O</t>
    <phoneticPr fontId="4" type="noConversion"/>
  </si>
  <si>
    <t>O</t>
    <phoneticPr fontId="4" type="noConversion"/>
  </si>
  <si>
    <t>PER</t>
    <phoneticPr fontId="4" type="noConversion"/>
  </si>
  <si>
    <t>정보응답시간</t>
    <phoneticPr fontId="4" type="noConversion"/>
  </si>
  <si>
    <t>TM목록/발행</t>
    <phoneticPr fontId="4" type="noConversion"/>
  </si>
  <si>
    <t>Level 1. 단위업무 시스템</t>
    <phoneticPr fontId="4" type="noConversion"/>
  </si>
  <si>
    <t>(요구사항 명칭)</t>
    <phoneticPr fontId="4" type="noConversion"/>
  </si>
  <si>
    <t>Level 2. 시스템 주요 기능</t>
    <phoneticPr fontId="4" type="noConversion"/>
  </si>
  <si>
    <t>(구분)</t>
    <phoneticPr fontId="4" type="noConversion"/>
  </si>
  <si>
    <t>응락수준</t>
    <phoneticPr fontId="4" type="noConversion"/>
  </si>
  <si>
    <t>필수</t>
    <phoneticPr fontId="4" type="noConversion"/>
  </si>
  <si>
    <t>데이터 오류 응답시간</t>
    <phoneticPr fontId="4" type="noConversion"/>
  </si>
  <si>
    <t>동시 사용자 접속수</t>
    <phoneticPr fontId="4" type="noConversion"/>
  </si>
  <si>
    <t>시스템 부하 최적화</t>
    <phoneticPr fontId="4" type="noConversion"/>
  </si>
  <si>
    <t>SER</t>
    <phoneticPr fontId="4" type="noConversion"/>
  </si>
  <si>
    <t>O</t>
    <phoneticPr fontId="4" type="noConversion"/>
  </si>
  <si>
    <t>X</t>
    <phoneticPr fontId="4" type="noConversion"/>
  </si>
  <si>
    <t>INR</t>
    <phoneticPr fontId="4" type="noConversion"/>
  </si>
  <si>
    <t>인터페이스 요구사항</t>
    <phoneticPr fontId="4" type="noConversion"/>
  </si>
  <si>
    <t>데이터 요구사항</t>
    <phoneticPr fontId="4" type="noConversion"/>
  </si>
  <si>
    <t>테스트 요구사항</t>
    <phoneticPr fontId="4" type="noConversion"/>
  </si>
  <si>
    <t>보안 요구사항</t>
    <phoneticPr fontId="4" type="noConversion"/>
  </si>
  <si>
    <t>품질 요구사항</t>
    <phoneticPr fontId="4" type="noConversion"/>
  </si>
  <si>
    <t>프로젝트 관리 요구사항</t>
    <phoneticPr fontId="4" type="noConversion"/>
  </si>
  <si>
    <t>프로젝트 지원 요구사항</t>
    <phoneticPr fontId="4" type="noConversion"/>
  </si>
  <si>
    <t>제약사항</t>
    <phoneticPr fontId="4" type="noConversion"/>
  </si>
  <si>
    <t>정보누출금지</t>
    <phoneticPr fontId="4" type="noConversion"/>
  </si>
  <si>
    <t>DB 관리 방안</t>
    <phoneticPr fontId="4" type="noConversion"/>
  </si>
  <si>
    <t>엔티티목록, 정의서, ERD(논리데이터모델), 코드 정의서, 데이터베이스설계서(물리데이터모델)</t>
    <phoneticPr fontId="4" type="noConversion"/>
  </si>
  <si>
    <t>DB 표준 준수</t>
    <phoneticPr fontId="4" type="noConversion"/>
  </si>
  <si>
    <t>DB 설계 시, 한국지역난방공사 DB 표준 정책 준수</t>
    <phoneticPr fontId="4" type="noConversion"/>
  </si>
  <si>
    <t>개념/논리/물리데이터모델</t>
    <phoneticPr fontId="4" type="noConversion"/>
  </si>
  <si>
    <t>데이터 관리 일반</t>
    <phoneticPr fontId="4" type="noConversion"/>
  </si>
  <si>
    <t>보안위규 처리 기준</t>
    <phoneticPr fontId="4" type="noConversion"/>
  </si>
  <si>
    <t>보안위약금 부과 기준</t>
    <phoneticPr fontId="4" type="noConversion"/>
  </si>
  <si>
    <t>보안 사항</t>
    <phoneticPr fontId="4" type="noConversion"/>
  </si>
  <si>
    <t>TER</t>
    <phoneticPr fontId="4" type="noConversion"/>
  </si>
  <si>
    <t>테스트 방안 제시</t>
    <phoneticPr fontId="4" type="noConversion"/>
  </si>
  <si>
    <t>테스트 수행 및 결과 보고</t>
    <phoneticPr fontId="4" type="noConversion"/>
  </si>
  <si>
    <t>테스트 수행 및 결과보고</t>
    <phoneticPr fontId="4" type="noConversion"/>
  </si>
  <si>
    <t>○ 개발초기부터 구축 완료까지 지속적으로 테스트를 실시하여야 하며 테스트 결과의 모니터링 및 테스트 결과를 계속적으로 반영
○ 단위테스트는 수행팀이 1차 자체적으로 수행하고 결과 보고
○ 통합테스트는 수행팀 주관으로 현업 입회 하에 실시하는 것을 원칙으로 하며, 세부 사항은 협의 후 실시
○ 통합테스트는 구축한 시스템을 품질서버에 적용하여 수행팀 주관으로 수행 후 결과 보고</t>
    <phoneticPr fontId="4" type="noConversion"/>
  </si>
  <si>
    <t>망 접근 관련 보안사항</t>
    <phoneticPr fontId="4" type="noConversion"/>
  </si>
  <si>
    <t>망 접근 시 보안 관리</t>
    <phoneticPr fontId="4" type="noConversion"/>
  </si>
  <si>
    <t>사업 진행 단계별 보안 사항</t>
    <phoneticPr fontId="4" type="noConversion"/>
  </si>
  <si>
    <t>사업 진행 단계별 보안 관련 관리해야 할 사항</t>
    <phoneticPr fontId="4" type="noConversion"/>
  </si>
  <si>
    <t>열량계 자재관리</t>
    <phoneticPr fontId="4" type="noConversion"/>
  </si>
  <si>
    <t>열수송 자재관리</t>
    <phoneticPr fontId="4" type="noConversion"/>
  </si>
  <si>
    <t>열원 자재관리</t>
    <phoneticPr fontId="4" type="noConversion"/>
  </si>
  <si>
    <t>QUR</t>
    <phoneticPr fontId="4" type="noConversion"/>
  </si>
  <si>
    <t>형상 및 산출물 관리</t>
    <phoneticPr fontId="4" type="noConversion"/>
  </si>
  <si>
    <t>형상 및 산출물 관리 사항</t>
    <phoneticPr fontId="4" type="noConversion"/>
  </si>
  <si>
    <t>XI. 시스템 구성도(IT 인프라)</t>
    <phoneticPr fontId="4" type="noConversion"/>
  </si>
  <si>
    <t>I. 스마트 유지보수, 자재관리 시스템</t>
    <phoneticPr fontId="4" type="noConversion"/>
  </si>
  <si>
    <t>III. 사용자 인터페이스(UI)</t>
    <phoneticPr fontId="4" type="noConversion"/>
  </si>
  <si>
    <t>VI. 스마트 도면관리</t>
    <phoneticPr fontId="4" type="noConversion"/>
  </si>
  <si>
    <t>VII. 설비관리</t>
    <phoneticPr fontId="4" type="noConversion"/>
  </si>
  <si>
    <t>V. 자재관리</t>
    <phoneticPr fontId="4" type="noConversion"/>
  </si>
  <si>
    <t>VIII. 유지보수</t>
    <phoneticPr fontId="4" type="noConversion"/>
  </si>
  <si>
    <t>X. 예산관리(플랜트기술처)</t>
    <phoneticPr fontId="4" type="noConversion"/>
  </si>
  <si>
    <t>시스템 무중단 운영</t>
    <phoneticPr fontId="4" type="noConversion"/>
  </si>
  <si>
    <t>시스템 무중단 운영 사항</t>
    <phoneticPr fontId="4" type="noConversion"/>
  </si>
  <si>
    <t>품질관리 일반요건</t>
    <phoneticPr fontId="4" type="noConversion"/>
  </si>
  <si>
    <t>품질관리 일반요건 사항</t>
    <phoneticPr fontId="4" type="noConversion"/>
  </si>
  <si>
    <t>PSR</t>
    <phoneticPr fontId="4" type="noConversion"/>
  </si>
  <si>
    <t>PMR</t>
    <phoneticPr fontId="4" type="noConversion"/>
  </si>
  <si>
    <t>하자보수</t>
    <phoneticPr fontId="4" type="noConversion"/>
  </si>
  <si>
    <t>교육 및 기술 지원</t>
    <phoneticPr fontId="4" type="noConversion"/>
  </si>
  <si>
    <t>기술이전</t>
    <phoneticPr fontId="4" type="noConversion"/>
  </si>
  <si>
    <t xml:space="preserve">사업 보고에 관한 사항 </t>
    <phoneticPr fontId="4" type="noConversion"/>
  </si>
  <si>
    <t>사업수행 조직 및 인력</t>
    <phoneticPr fontId="4" type="noConversion"/>
  </si>
  <si>
    <t>착수 및 과업수행계획</t>
    <phoneticPr fontId="4" type="noConversion"/>
  </si>
  <si>
    <t>사업 수행계획</t>
    <phoneticPr fontId="4" type="noConversion"/>
  </si>
  <si>
    <t>사업 수행조직 및 인력 관리</t>
    <phoneticPr fontId="4" type="noConversion"/>
  </si>
  <si>
    <t>사업보고</t>
    <phoneticPr fontId="4" type="noConversion"/>
  </si>
  <si>
    <t>준공 및 인수인계</t>
    <phoneticPr fontId="4" type="noConversion"/>
  </si>
  <si>
    <t>위험관리 방안</t>
    <phoneticPr fontId="4" type="noConversion"/>
  </si>
  <si>
    <t>의사소통 방안</t>
    <phoneticPr fontId="4" type="noConversion"/>
  </si>
  <si>
    <t xml:space="preserve">○ 준공신청은 사업종료일 전에 요청하여야 하며, 수행사와 공사가 협의하여 인수인계 일정 결정 </t>
    <phoneticPr fontId="4" type="noConversion"/>
  </si>
  <si>
    <t>○ 사업수행 중 인력, 범위, 기술, 공정, 변경관리 등 발생 가능한 위험에 대한 식별 관리 방안 제시</t>
    <phoneticPr fontId="4" type="noConversion"/>
  </si>
  <si>
    <t>○ 사업 추진조직과 원활한 의사소통을 위한 방안 제시 및 의사소통 채널 운영</t>
    <phoneticPr fontId="4" type="noConversion"/>
  </si>
  <si>
    <t>교육 및 기술 지원 사항</t>
    <phoneticPr fontId="4" type="noConversion"/>
  </si>
  <si>
    <t>기술이전 방안</t>
    <phoneticPr fontId="4" type="noConversion"/>
  </si>
  <si>
    <t>품질관리</t>
    <phoneticPr fontId="4" type="noConversion"/>
  </si>
  <si>
    <t>품질관리 방안</t>
    <phoneticPr fontId="4" type="noConversion"/>
  </si>
  <si>
    <t>정보누출금지 사항</t>
    <phoneticPr fontId="4" type="noConversion"/>
  </si>
  <si>
    <t>보안위규 처리기준에 관한 사항</t>
    <phoneticPr fontId="4" type="noConversion"/>
  </si>
  <si>
    <t>보안 위약금 부과 기준에 관한 사항</t>
    <phoneticPr fontId="4" type="noConversion"/>
  </si>
  <si>
    <t>용역 수행 시 보안에 관한 사항</t>
    <phoneticPr fontId="4" type="noConversion"/>
  </si>
  <si>
    <t>단위/통합테스트 등에 대한 효율적 방안 제시</t>
    <phoneticPr fontId="4" type="noConversion"/>
  </si>
  <si>
    <t>단위/통합테스트 계획서</t>
    <phoneticPr fontId="4" type="noConversion"/>
  </si>
  <si>
    <t>단위/통합테스트 결과서</t>
    <phoneticPr fontId="4" type="noConversion"/>
  </si>
  <si>
    <t>DB 명세서 및 마이그레이션 방안 제시</t>
    <phoneticPr fontId="4" type="noConversion"/>
  </si>
  <si>
    <t>○ 우리 공사의 ‘데이터 관리 절차서’, ‘데이터 표준관리 절차서’, ‘데이터 구조관리 절차서’를 준수하여, 전사 데이터 표준메타를 적용하고, 개념/물리/논리 데이터모델을 설계함
○ DB상세설계 시, 신규 정보시스템 등록정보 (①시스템 기본정보, ②담당자, ③DB연결정보, ④개념/논리/물리데이터 모델, ⑤인터페이스 목록)를 데이터 관리조직에 제출
○ 데이터 관리조직으로부터 데이터모델 보완을 요구받을 시, 필히 개선을 수행함
○ 상용 솔루션 고유 데이터 모델의 경우 비표준 대상으로 관리하여 표준준수 대상에서 제외 가능</t>
    <phoneticPr fontId="4" type="noConversion"/>
  </si>
  <si>
    <t>O</t>
    <phoneticPr fontId="4" type="noConversion"/>
  </si>
  <si>
    <t>X</t>
    <phoneticPr fontId="4" type="noConversion"/>
  </si>
  <si>
    <t>인터페이스 설계</t>
    <phoneticPr fontId="4" type="noConversion"/>
  </si>
  <si>
    <t>사용자 인터페이스(UI/UX)</t>
    <phoneticPr fontId="4" type="noConversion"/>
  </si>
  <si>
    <t>시험운영</t>
  </si>
  <si>
    <t>조직관리</t>
    <phoneticPr fontId="4" type="noConversion"/>
  </si>
  <si>
    <t>관리방법론</t>
    <phoneticPr fontId="4" type="noConversion"/>
  </si>
  <si>
    <t>ECR</t>
    <phoneticPr fontId="4" type="noConversion"/>
  </si>
  <si>
    <t>보안 요구사항</t>
    <phoneticPr fontId="4" type="noConversion"/>
  </si>
  <si>
    <t>시스템 요구사항</t>
  </si>
  <si>
    <t>시스템 요구사항</t>
    <phoneticPr fontId="4" type="noConversion"/>
  </si>
  <si>
    <t>시스템 요구사항</t>
    <phoneticPr fontId="4" type="noConversion"/>
  </si>
  <si>
    <t>COR</t>
    <phoneticPr fontId="4" type="noConversion"/>
  </si>
  <si>
    <t>제약사항</t>
    <phoneticPr fontId="4" type="noConversion"/>
  </si>
  <si>
    <t>표준 제약사항</t>
    <phoneticPr fontId="4" type="noConversion"/>
  </si>
  <si>
    <t>목표시스템의 표준 제약에 관한 사항</t>
    <phoneticPr fontId="4" type="noConversion"/>
  </si>
  <si>
    <t xml:space="preserve">감리 대응 </t>
    <phoneticPr fontId="4" type="noConversion"/>
  </si>
  <si>
    <t>감리 대응 및 협조</t>
    <phoneticPr fontId="4" type="noConversion"/>
  </si>
  <si>
    <t>기술적용계획표 및 결과표 작성</t>
    <phoneticPr fontId="4" type="noConversion"/>
  </si>
  <si>
    <t>개발 제약사항</t>
    <phoneticPr fontId="4" type="noConversion"/>
  </si>
  <si>
    <t>목표시스템의 개발제약에 관한 사항</t>
    <phoneticPr fontId="4" type="noConversion"/>
  </si>
  <si>
    <t>법적 제약사항</t>
    <phoneticPr fontId="4" type="noConversion"/>
  </si>
  <si>
    <t>목표시스템의 법적 제약에 관한 사항</t>
    <phoneticPr fontId="4" type="noConversion"/>
  </si>
  <si>
    <t>기타 제약사항</t>
    <phoneticPr fontId="4" type="noConversion"/>
  </si>
  <si>
    <t>목표시스템의 기타 제약사항에 관한 사항</t>
    <phoneticPr fontId="4" type="noConversion"/>
  </si>
  <si>
    <t>특허권 및 저작권 보호</t>
    <phoneticPr fontId="4" type="noConversion"/>
  </si>
  <si>
    <t>○ 시스템은 개인정보보호를 위하여 ‘개인정보보호법’ 준수
○ 시스템은 ‘전자정부 웹사이트 품질관리 지침’ 준수
○ 시스템은 ‘행정정보데이터베이스 표준화 지침’ 준수
○ 시스템은 ‘행정기관의 코드표준화 추진지침‘ 준수
○ 시스템은 다양한 웹 브라우저에서 접근할 수 있도록 W3C의 국제표준 적용
○ 본 사업은「소프트웨어 진흥법 제46조」에 따라 해당 사업 수주자는 SW사업정보(SW사업 수행 및 실적 정보) 데이터를 작성 및 제출
 - SW사업정보는 SW사업정보 저장소(www.spir.kr)에 총 2회 제출
   (1차 : 사업계약 완료 후 1개월 이내, 2차 : 사업 종료 후 1개월 이내)
 - 데이터 작성에 대한 기본적인 책임은 해당사업 수주기업에 있고 사업 수주자가 작성하기 어려운 항목에 대해서는 발주 담당자가 작성할 수 있으며, 데이터 제출 시 발주기관의 최종 승인을 득한 후 제출
 - SW사업정보 데이터는 사업수행계획서 작성 시 단계별 산출물 리스트에 반드시 명시
○ SW사업정보 중 기능점수 데이터를 작성하여 제출</t>
    <phoneticPr fontId="4" type="noConversion"/>
  </si>
  <si>
    <t>인터페이스 요구사항</t>
    <phoneticPr fontId="4" type="noConversion"/>
  </si>
  <si>
    <t>개발장소 및 환경</t>
    <phoneticPr fontId="4" type="noConversion"/>
  </si>
  <si>
    <t>개발장소 정의 및 개발환경 구성</t>
    <phoneticPr fontId="4" type="noConversion"/>
  </si>
  <si>
    <t>개발장비</t>
    <phoneticPr fontId="4" type="noConversion"/>
  </si>
  <si>
    <t>일정계획</t>
    <phoneticPr fontId="4" type="noConversion"/>
  </si>
  <si>
    <t>유지관리 하자보수</t>
    <phoneticPr fontId="4" type="noConversion"/>
  </si>
  <si>
    <t>교육훈련 기술이전</t>
    <phoneticPr fontId="4" type="noConversion"/>
  </si>
  <si>
    <t>시스템 안정화 활동</t>
    <phoneticPr fontId="4" type="noConversion"/>
  </si>
  <si>
    <t>목표시스템의 안정화를 위한 활동 계획 및 이행방안 제시</t>
    <phoneticPr fontId="4" type="noConversion"/>
  </si>
  <si>
    <t>○ 시스템의 핵심 규칙/데이터/업무로직을 구성하는 단위시스템은 현 시점에서 한국 전자정부 표준/국제 표준으로 받아들여지고 있는 표준 SOA 구현 기술(SOAP, UDDI, WSDL)등을 준수하여 개발 
○ 목표시스템에 적용할 수 있는 공통 컴포넌트의 사용계획 및 활용방안 제시
○ 시스템은 제시된 방법론의 절차와 과정(개발표준, 기술표준 문서화)에 따른 개발
○ 어플리케이션은 특정 하드웨어나 운영체제(OS)에 종속되지 않고 향후 유연성, 확장성 및 유지보수가 용이하도록 개발
○ 본 과업 수행 시 발생되는 화면처리 흐름, 신규 코드 분류 등 향후 운영 및 유지관리에 영향을 주는 제반사항은 감독과 사전에 협의하여 시행
○ 그래픽, 입력, 검색 등 각종 화면 및 처리방법은 감독과 협의하여 결정
○ 프로그램 작성 기법과 문서화 작업은 사전에 감독과 협의하여 결정하고 소스 작성 시 주석을 상세히 기술
○ 본 과업을 수행함에 있어 연계되는 시스템의 유지보수팀과의 정보를 공유하고 상호 간에 긴밀한 협조를 유지할 수 있는 체계를 마련하여 본 과업이 차질 없이 수행
○ 본 용역의 수행으로 인해 연계되는 시스템에 영향을 주어서는 안됨
○ 프로젝트 범위 내 ActiveX 사용 및 하드코딩 배제</t>
    <phoneticPr fontId="4" type="noConversion"/>
  </si>
  <si>
    <t>○ 본 과업은 관련 법규, 용역 규정 및 과업내용서와 감독원의 지시에 따라 수행하여야 하며 과업내용서에 명시된 모든 항목은 최소한의 사항만을 규정하였으므로 상세히 기술되지 않았거나 누락된 사항에 대하여 운영상 문제가 발생하지 않도록 해야 함
○ 본 과업지시서 상에 명시된 사항 중 해석상의 이견이 있을 시 공사와 계약상대자간에 상호 협의하여 조정</t>
    <phoneticPr fontId="4" type="noConversion"/>
  </si>
  <si>
    <t>○ 제안사가 제공한 소프트웨어 사용기간 동안 동 소프트웨어로 인하여 발주자가 소유권 및 지적재산권 침해에 대한 소송상 또는 소송의 청구를 당하거나 그로 인한 재판이 결정된 경우, 공급업체는 자기의 비용과 선택으로 즉시 동 소프트웨어의 계속 점유권 및 사용권을 발주자에게 부여하거나 또는 소유권 및 지적재산권 침해 소프트웨어와 동등 또는 더 우수한 물품으로 대체하고 문제가 된 소프트웨어를 철거하여야 한다.
○ 제안사는 구축된 시스템이 국내의 저작권 침해 등 법적 권리관계의 문제 발생 시 이에 대한 조치 및 책임을 져야 하며 이에 따른 손해배상의 책임도 제안사에게 있음
○ 제안사는 계약에 의거 제공한 HW, SW가 국내외의 특허권 및 저작권을 침해한다는 이유로 소송을 제기 받을 경우 발주자에게 발생한 모든 손해 및 배상을 책임져야 함</t>
    <phoneticPr fontId="4" type="noConversion"/>
  </si>
  <si>
    <t>시험운영</t>
    <phoneticPr fontId="4" type="noConversion"/>
  </si>
  <si>
    <t>비상대책</t>
    <phoneticPr fontId="4" type="noConversion"/>
  </si>
  <si>
    <t>기밀보안</t>
    <phoneticPr fontId="4" type="noConversion"/>
  </si>
  <si>
    <t>보안서약 및 책임</t>
    <phoneticPr fontId="4" type="noConversion"/>
  </si>
  <si>
    <t>인력보안관리</t>
    <phoneticPr fontId="4" type="noConversion"/>
  </si>
  <si>
    <t>참여인원에 대한 보안관리</t>
    <phoneticPr fontId="4" type="noConversion"/>
  </si>
  <si>
    <t>정보보안 계획 수립 및 실행</t>
    <phoneticPr fontId="4" type="noConversion"/>
  </si>
  <si>
    <t>정보보안 계획 및 방안제시</t>
    <phoneticPr fontId="4" type="noConversion"/>
  </si>
  <si>
    <t>체계적인 시험운영의 시행</t>
    <phoneticPr fontId="4" type="noConversion"/>
  </si>
  <si>
    <t>○ 시험운영은 개발 및 시스템 오픈 후 준공이전까지 최소 3개월 이상 시행
○ 개발 및 테스트가 완료된 시스템과 운영을 위한 DB를 구성하여 실제 운영환경에서 수행하며, 운영과 관련된 발주기관의 해당부서 담당자들이 업무수행과정에서 해당 시스템 및 DB를 활용하여 진행할 수 있도록 시나리오를 체계적으로 구성하여 진행</t>
    <phoneticPr fontId="4" type="noConversion"/>
  </si>
  <si>
    <t>장애관리 및 백업</t>
    <phoneticPr fontId="4" type="noConversion"/>
  </si>
  <si>
    <t>목표시스템의 장애관리 및 백업지원</t>
    <phoneticPr fontId="4" type="noConversion"/>
  </si>
  <si>
    <t>목표시스템의 하자보수에 관한 사항</t>
    <phoneticPr fontId="4" type="noConversion"/>
  </si>
  <si>
    <t>데이터 기반 자동화 공정 관리</t>
    <phoneticPr fontId="4" type="noConversion"/>
  </si>
  <si>
    <t>형상 연동형 실시간 진척/ 공정관리 체계 적용</t>
    <phoneticPr fontId="4" type="noConversion"/>
  </si>
  <si>
    <t>지능형 품질 보증(AI QA)</t>
    <phoneticPr fontId="4" type="noConversion"/>
  </si>
  <si>
    <t>AI 코딩 어시스턴트 환경 구축</t>
    <phoneticPr fontId="4" type="noConversion"/>
  </si>
  <si>
    <t>PMR</t>
    <phoneticPr fontId="4" type="noConversion"/>
  </si>
  <si>
    <t>AI 지원을 위한 데이터 구조 표준 수립</t>
    <phoneticPr fontId="4" type="noConversion"/>
  </si>
  <si>
    <t>○ 동일 데이터 중복 방지 방안 제시
○ 우리 공사가 제시하는 데이터 관리 요구사항 준수
○ 데이터 정제/변환/저장과정 모니터링을 위한 로그관리</t>
    <phoneticPr fontId="4" type="noConversion"/>
  </si>
  <si>
    <t>용역마스터</t>
    <phoneticPr fontId="4" type="noConversion"/>
  </si>
  <si>
    <t>용역마스터 관리</t>
    <phoneticPr fontId="4" type="noConversion"/>
  </si>
  <si>
    <r>
      <rPr>
        <sz val="11"/>
        <color theme="1"/>
        <rFont val="Noto Sans KR"/>
        <family val="3"/>
        <charset val="129"/>
      </rPr>
      <t xml:space="preserve">○ </t>
    </r>
    <r>
      <rPr>
        <sz val="11"/>
        <color theme="1"/>
        <rFont val="KoPub돋움체 Medium"/>
        <family val="1"/>
        <charset val="129"/>
      </rPr>
      <t xml:space="preserve">사업의 종료 후 12개월간 시스템 이상발생 또는 장애접수 후 8시간 이내에 보수가 가능하도록 유지관리 요원의 신속한 대응 필요
○ 장애 발생 시 원인분석 및 복구 등 즉각 조치가 가능하도록 기술지원부서 확보
○ 시스템 관리 담당자를 지정하고 주기적으로 시스템 모니터링, 백업/복구, 및 작업 관리 실시
</t>
    </r>
    <r>
      <rPr>
        <sz val="11"/>
        <color theme="1"/>
        <rFont val="Noto Sans KR"/>
        <family val="3"/>
        <charset val="129"/>
      </rPr>
      <t xml:space="preserve">○ </t>
    </r>
    <r>
      <rPr>
        <sz val="11"/>
        <color theme="1"/>
        <rFont val="KoPub돋움체 Medium"/>
        <family val="1"/>
        <charset val="129"/>
      </rPr>
      <t>장애 조치 완료 후에 처리사항에 대한 철저한 기록관리를 수행하고 공사에 레포트 제출</t>
    </r>
    <phoneticPr fontId="4" type="noConversion"/>
  </si>
  <si>
    <t>매뉴얼 및 사용자 세부 매뉴얼에 관한 사항</t>
    <phoneticPr fontId="4" type="noConversion"/>
  </si>
  <si>
    <t>비고</t>
    <phoneticPr fontId="4" type="noConversion"/>
  </si>
  <si>
    <t>○ 설비, 자재, 유지보수,건설시스템 DB  표준화 방법론(활동, 일정 등) 정의 및 제시</t>
    <phoneticPr fontId="4" type="noConversion"/>
  </si>
  <si>
    <t>○ 도면, 매뉴얼, 준공도서, 사양서, 지침서 등 유지보수 및 자재관리 관련 기술자료의 파일형태 등록/수정/삭제 기능
○ 기술자료는 PDF, CAD, 이미지, 오피스 문서 등 다양한 형식의 파일 등록 기능
○ 등록된 기술자료의 파일명, 내용 등 조건에 따른 조회 및 열람, 다운로드 기능
○ 기술자료 개정 시, 이전 버전의 이력관리 기능</t>
    <phoneticPr fontId="4" type="noConversion"/>
  </si>
  <si>
    <t>시스템 내 결재 업무 시 공통적인 사항</t>
    <phoneticPr fontId="4" type="noConversion"/>
  </si>
  <si>
    <t>프로젝트 공람 기능</t>
    <phoneticPr fontId="4" type="noConversion"/>
  </si>
  <si>
    <t>파일 업로드 및 다운로드 기능</t>
    <phoneticPr fontId="4" type="noConversion"/>
  </si>
  <si>
    <t>프로젝트 정보</t>
    <phoneticPr fontId="4" type="noConversion"/>
  </si>
  <si>
    <t>프로젝트 정보 기능</t>
    <phoneticPr fontId="4" type="noConversion"/>
  </si>
  <si>
    <t>건설사가 설계 성과물 제출을 위한 문서송부전 작성</t>
    <phoneticPr fontId="4" type="noConversion"/>
  </si>
  <si>
    <t>문서송부전 작성결과를 검토하여 문서처리전으로 회신</t>
    <phoneticPr fontId="4" type="noConversion"/>
  </si>
  <si>
    <t>건설사가 Vender Print 성과물 제출을 위한 Submittal 검토의뢰서 작성</t>
    <phoneticPr fontId="4" type="noConversion"/>
  </si>
  <si>
    <t>각 부서 담당자가 결과를 검토하여 Submittal 검토의견서 회신</t>
    <phoneticPr fontId="4" type="noConversion"/>
  </si>
  <si>
    <t>첨부 Viewer를 통한 편집 기능</t>
    <phoneticPr fontId="4" type="noConversion"/>
  </si>
  <si>
    <t>첨부 Viewer 툴을 이용한 열람, 편집 기능</t>
    <phoneticPr fontId="4" type="noConversion"/>
  </si>
  <si>
    <t>AI 기반 소스코드 품질 진단 및 요구사항 추적 관리</t>
    <phoneticPr fontId="4" type="noConversion"/>
  </si>
  <si>
    <t>관리방법론</t>
    <phoneticPr fontId="4" type="noConversion"/>
  </si>
  <si>
    <t>건설정보시스템 재구축 용역 SFR-002</t>
  </si>
  <si>
    <t>건설정보시스템 재구축 용역 SFR-003</t>
  </si>
  <si>
    <t>건설정보시스템 재구축 용역 SFR-004</t>
  </si>
  <si>
    <t>건설정보시스템 재구축 용역 SFR-005</t>
  </si>
  <si>
    <t>건설정보시스템 재구축 용역 SFR-006</t>
  </si>
  <si>
    <t>건설정보시스템 재구축 용역 SFR-007</t>
  </si>
  <si>
    <t>건설정보시스템 재구축 용역 SFR-008</t>
  </si>
  <si>
    <t>건설정보시스템 재구축 용역 SFR-009</t>
  </si>
  <si>
    <t>DCL 조건검색 및 현황 관리</t>
    <phoneticPr fontId="4" type="noConversion"/>
  </si>
  <si>
    <t>DCL 지연 리스트 조회</t>
    <phoneticPr fontId="4" type="noConversion"/>
  </si>
  <si>
    <t>DCL 관련 레포트 검토</t>
    <phoneticPr fontId="4" type="noConversion"/>
  </si>
  <si>
    <t>품질실적관리</t>
    <phoneticPr fontId="4" type="noConversion"/>
  </si>
  <si>
    <t>현장기술지원</t>
    <phoneticPr fontId="4" type="noConversion"/>
  </si>
  <si>
    <t>품질보증</t>
    <phoneticPr fontId="4" type="noConversion"/>
  </si>
  <si>
    <t>ECR-001</t>
  </si>
  <si>
    <t>SFR-001</t>
  </si>
  <si>
    <t>SFR-002</t>
  </si>
  <si>
    <t>SFR-003</t>
  </si>
  <si>
    <t>SFR-004</t>
  </si>
  <si>
    <t>사용자 인터페이스(UI/UX)</t>
  </si>
  <si>
    <t>SFR-005</t>
  </si>
  <si>
    <t>기능위치마스터 관리</t>
  </si>
  <si>
    <t>SFR-006</t>
  </si>
  <si>
    <t>SFR-007</t>
  </si>
  <si>
    <t>SFR-008</t>
  </si>
  <si>
    <t>스마트 도면 관리 기능(공통)</t>
  </si>
  <si>
    <t>SFR-009</t>
  </si>
  <si>
    <t>스마트 도면 전환</t>
  </si>
  <si>
    <t>SFR-010</t>
  </si>
  <si>
    <t>스마트 도면 편집(Edit) 기능</t>
  </si>
  <si>
    <t>SFR-011</t>
  </si>
  <si>
    <t>스마트 도면 보기(View) 기능</t>
  </si>
  <si>
    <t>SFR-012</t>
  </si>
  <si>
    <t>자재마스터 관리</t>
  </si>
  <si>
    <t>SFR-013</t>
  </si>
  <si>
    <t>자재관리</t>
  </si>
  <si>
    <t>SFR-014</t>
  </si>
  <si>
    <t>자재 입·출고관리</t>
  </si>
  <si>
    <t>SFR-015</t>
  </si>
  <si>
    <t>열원 자재관리</t>
  </si>
  <si>
    <t>SFR-016</t>
  </si>
  <si>
    <t>열수송 자재관리</t>
  </si>
  <si>
    <t>SFR-017</t>
  </si>
  <si>
    <t>열량계 자재관리</t>
  </si>
  <si>
    <t>SFR-018</t>
  </si>
  <si>
    <t>작업오더 조회 및 생성</t>
  </si>
  <si>
    <t>SFR-019</t>
  </si>
  <si>
    <t>기기점검결과보고서</t>
  </si>
  <si>
    <t>SFR-020</t>
  </si>
  <si>
    <t>공사기간관리</t>
  </si>
  <si>
    <t>SFR-021</t>
  </si>
  <si>
    <t>공사통보서 발행</t>
  </si>
  <si>
    <t>SFR-022</t>
  </si>
  <si>
    <t>SFR-023</t>
  </si>
  <si>
    <t>공사마스터</t>
  </si>
  <si>
    <t>SFR-024</t>
  </si>
  <si>
    <t>용역마스터</t>
  </si>
  <si>
    <t>SFR-025</t>
  </si>
  <si>
    <t>공사오더 조회 및 생성</t>
  </si>
  <si>
    <t>SFR-026</t>
  </si>
  <si>
    <t>공사 작업결과 입력</t>
  </si>
  <si>
    <t>SFR-027</t>
  </si>
  <si>
    <t>SFR-028</t>
  </si>
  <si>
    <t>SFR-029</t>
  </si>
  <si>
    <t>Red Tag 관리</t>
  </si>
  <si>
    <t>SFR-030</t>
  </si>
  <si>
    <t>SFR-031</t>
  </si>
  <si>
    <t>법정검사</t>
  </si>
  <si>
    <t>SFR-032</t>
  </si>
  <si>
    <t>예방점검관리</t>
  </si>
  <si>
    <t>SFR-033</t>
  </si>
  <si>
    <t>작업 통계</t>
  </si>
  <si>
    <t>SFR-034</t>
  </si>
  <si>
    <t>요구사항 명칭</t>
    <phoneticPr fontId="4" type="noConversion"/>
  </si>
  <si>
    <t>SFR-035</t>
  </si>
  <si>
    <t>SFR-036</t>
  </si>
  <si>
    <t>고장 통계</t>
  </si>
  <si>
    <t>SFR-037</t>
  </si>
  <si>
    <t>TM목록/발행</t>
  </si>
  <si>
    <t>SFR-038</t>
  </si>
  <si>
    <t>TM 통계</t>
  </si>
  <si>
    <t>SFR-039</t>
  </si>
  <si>
    <t>로그시트</t>
  </si>
  <si>
    <t>SFR-040</t>
  </si>
  <si>
    <t>인계인수일지</t>
  </si>
  <si>
    <t>SFR-041</t>
  </si>
  <si>
    <t>운전시간</t>
  </si>
  <si>
    <t>SFR-042</t>
  </si>
  <si>
    <t>정비회의</t>
  </si>
  <si>
    <t>SFR-043</t>
  </si>
  <si>
    <t>도면 및 기술자료 관리</t>
  </si>
  <si>
    <t>SFR-044</t>
  </si>
  <si>
    <t>SFR-045</t>
  </si>
  <si>
    <t>SFR-046</t>
  </si>
  <si>
    <t>SFR-047</t>
  </si>
  <si>
    <t>SFR-048</t>
  </si>
  <si>
    <t>SFR-049</t>
  </si>
  <si>
    <t>SFR-050</t>
  </si>
  <si>
    <t>SFR-051</t>
  </si>
  <si>
    <t>SFR-052</t>
  </si>
  <si>
    <t>프로젝트 정보</t>
  </si>
  <si>
    <t>SFR-053</t>
  </si>
  <si>
    <t>SFR-054</t>
  </si>
  <si>
    <t>SFR-055</t>
  </si>
  <si>
    <t>SFR-056</t>
  </si>
  <si>
    <t>SFR-057</t>
  </si>
  <si>
    <t>SFR-058</t>
  </si>
  <si>
    <t>SFR-059</t>
  </si>
  <si>
    <t>SFR-060</t>
  </si>
  <si>
    <t>SFR-061</t>
  </si>
  <si>
    <t>SFR-062</t>
  </si>
  <si>
    <t>SFR-063</t>
  </si>
  <si>
    <t>SFR-064</t>
  </si>
  <si>
    <t>품질실적관리</t>
  </si>
  <si>
    <t>SFR-065</t>
  </si>
  <si>
    <t>SFR-066</t>
  </si>
  <si>
    <t>프로젝트 폴더</t>
  </si>
  <si>
    <t>SFR-067</t>
  </si>
  <si>
    <t>프로젝트 관리자의 기능</t>
  </si>
  <si>
    <t>SFR-068</t>
  </si>
  <si>
    <t>SFR-069</t>
  </si>
  <si>
    <t>REPLY SHEET 기능</t>
  </si>
  <si>
    <t>SFR-070</t>
  </si>
  <si>
    <t>첨부 Viewer를 통한 편집 기능</t>
  </si>
  <si>
    <t>SFR-071</t>
  </si>
  <si>
    <t>SER-001</t>
  </si>
  <si>
    <t>SER-002</t>
  </si>
  <si>
    <t>정보누출금지</t>
  </si>
  <si>
    <t>SER-003</t>
  </si>
  <si>
    <t>보안위규 처리 기준</t>
  </si>
  <si>
    <t>SER-004</t>
  </si>
  <si>
    <t>보안위약금 부과 기준</t>
  </si>
  <si>
    <t>SER-005</t>
  </si>
  <si>
    <t>보안 사항</t>
  </si>
  <si>
    <t>SER-006</t>
  </si>
  <si>
    <t>망 접근 관련 보안사항</t>
  </si>
  <si>
    <t>SER-007</t>
  </si>
  <si>
    <t>사업 진행 단계별 보안 사항</t>
  </si>
  <si>
    <t>DAR-001</t>
  </si>
  <si>
    <t>DB 관리 방안</t>
  </si>
  <si>
    <t>DAR-002</t>
  </si>
  <si>
    <t>DB 표준 준수</t>
  </si>
  <si>
    <t>DAR-003</t>
  </si>
  <si>
    <t>DAR-004</t>
  </si>
  <si>
    <t>데이터 관리 일반</t>
  </si>
  <si>
    <t>COR-001</t>
  </si>
  <si>
    <t>표준 제약사항</t>
  </si>
  <si>
    <t>COR-002</t>
  </si>
  <si>
    <t xml:space="preserve">감리 대응 </t>
  </si>
  <si>
    <t>COR-003</t>
  </si>
  <si>
    <t>기술적용계획표 및 결과표 작성</t>
  </si>
  <si>
    <t>COR-004</t>
  </si>
  <si>
    <t>개발 제약사항</t>
  </si>
  <si>
    <t>COR-005</t>
  </si>
  <si>
    <t>법적 제약사항</t>
  </si>
  <si>
    <t>COR-006</t>
  </si>
  <si>
    <t>기타 제약사항</t>
  </si>
  <si>
    <t>COR-007</t>
  </si>
  <si>
    <t>특허권 및 저작권 보호</t>
  </si>
  <si>
    <t>PER-001</t>
  </si>
  <si>
    <t>정보응답시간</t>
  </si>
  <si>
    <t>PER-002</t>
  </si>
  <si>
    <t>데이터 오류 응답시간</t>
  </si>
  <si>
    <t>PER-003</t>
  </si>
  <si>
    <t>동시 사용자 접속수</t>
  </si>
  <si>
    <t>PER-004</t>
  </si>
  <si>
    <t>시스템 부하 최적화</t>
  </si>
  <si>
    <t>QUR-001</t>
  </si>
  <si>
    <t>품질관리</t>
  </si>
  <si>
    <t>QUR-002</t>
  </si>
  <si>
    <t>형상 및 산출물 관리</t>
  </si>
  <si>
    <t>QUR-003</t>
  </si>
  <si>
    <t>시스템 무중단 운영</t>
  </si>
  <si>
    <t>QUR-004</t>
  </si>
  <si>
    <t>품질관리 일반요건</t>
  </si>
  <si>
    <t>INR-001</t>
  </si>
  <si>
    <t>시스템 연계</t>
  </si>
  <si>
    <t>INR-002</t>
  </si>
  <si>
    <t>인터페이스 설계</t>
  </si>
  <si>
    <t>TER-001</t>
  </si>
  <si>
    <t>테스트 방안 제시</t>
  </si>
  <si>
    <t>TER-002</t>
  </si>
  <si>
    <t>테스트 수행 및 결과 보고</t>
  </si>
  <si>
    <t>PMR-001</t>
  </si>
  <si>
    <t>사업 수행계획</t>
  </si>
  <si>
    <t>PMR-002</t>
  </si>
  <si>
    <t>위험관리 방안</t>
  </si>
  <si>
    <t>PMR-003</t>
  </si>
  <si>
    <t>의사소통 방안</t>
  </si>
  <si>
    <t>PMR-004</t>
  </si>
  <si>
    <t>사업보고</t>
  </si>
  <si>
    <t>PMR-005</t>
  </si>
  <si>
    <t>준공 및 인수인계</t>
  </si>
  <si>
    <t>PMR-006</t>
  </si>
  <si>
    <t>개발장소 및 환경</t>
  </si>
  <si>
    <t>PMR-007</t>
  </si>
  <si>
    <t>사업 수행조직 및 인력 관리</t>
  </si>
  <si>
    <t>PMR-008</t>
  </si>
  <si>
    <t>데이터 기반 자동화 공정 관리</t>
  </si>
  <si>
    <t>PMR-009</t>
  </si>
  <si>
    <t>지능형 품질 보증(AI QA)</t>
  </si>
  <si>
    <t>PSR-001</t>
  </si>
  <si>
    <t>시스템 안정화 활동</t>
  </si>
  <si>
    <t>PSR-002</t>
  </si>
  <si>
    <t>PSR-003</t>
  </si>
  <si>
    <t>교육 및 기술 지원</t>
  </si>
  <si>
    <t>PSR-004</t>
  </si>
  <si>
    <t>기술이전</t>
  </si>
  <si>
    <t>PSR-005</t>
  </si>
  <si>
    <t>하자보수</t>
  </si>
  <si>
    <t>PSR-006</t>
  </si>
  <si>
    <t>보안서약 및 책임</t>
  </si>
  <si>
    <t>PSR-007</t>
  </si>
  <si>
    <t>인력보안관리</t>
  </si>
  <si>
    <t>PSR-008</t>
  </si>
  <si>
    <t>정보보안 계획 수립 및 실행</t>
  </si>
  <si>
    <t>PSR-009</t>
  </si>
  <si>
    <t>장애관리 및 백업</t>
  </si>
  <si>
    <t>CNR-001</t>
  </si>
  <si>
    <t>표준화 방안 수립</t>
  </si>
  <si>
    <t>CNR-002</t>
  </si>
  <si>
    <t>CNR-003</t>
  </si>
  <si>
    <t>CNR-004</t>
  </si>
  <si>
    <t>PER-001</t>
    <phoneticPr fontId="4" type="noConversion"/>
  </si>
  <si>
    <t>QUR-001</t>
    <phoneticPr fontId="4" type="noConversion"/>
  </si>
  <si>
    <t>INR-001</t>
    <phoneticPr fontId="4" type="noConversion"/>
  </si>
  <si>
    <t>TER-001</t>
    <phoneticPr fontId="4" type="noConversion"/>
  </si>
  <si>
    <t>PMR-001</t>
    <phoneticPr fontId="4" type="noConversion"/>
  </si>
  <si>
    <t>PSR-001</t>
    <phoneticPr fontId="4" type="noConversion"/>
  </si>
  <si>
    <t>CNR-001</t>
    <phoneticPr fontId="4" type="noConversion"/>
  </si>
  <si>
    <t>인프라 구성 표준</t>
  </si>
  <si>
    <t>계정 및 권한</t>
  </si>
  <si>
    <t>모바일 공통 기능</t>
  </si>
  <si>
    <t>정보 조회 기능</t>
  </si>
  <si>
    <t>기능위치 관리</t>
  </si>
  <si>
    <t>설비마스터 및 설비그룹 관리</t>
  </si>
  <si>
    <t>자재관리(공통)</t>
  </si>
  <si>
    <t>자재 창고관리(공통)</t>
  </si>
  <si>
    <t>작업관리 - 기기점검결과보고서</t>
  </si>
  <si>
    <t>작업관리 - 작업연장</t>
  </si>
  <si>
    <t>작업관리 - 공사통보서</t>
  </si>
  <si>
    <t>작업관리·공사관리(공통) - 지입·외주·임차 관리</t>
  </si>
  <si>
    <t>공사마스터 관리</t>
  </si>
  <si>
    <t>용역마스터 관리</t>
  </si>
  <si>
    <t>공사오더 관리</t>
  </si>
  <si>
    <t>공사오더 - 작업결과 관리</t>
  </si>
  <si>
    <t>공사오더 - 설계기준서 관리</t>
  </si>
  <si>
    <t>공사오더 - 제비율표 관리</t>
  </si>
  <si>
    <t>예방정비 필요 설비 조회/신규 지정, 설비별 예방정비작업 사전 설계, 일정 등록 및 작업오더 자동 발행</t>
  </si>
  <si>
    <t>법정검사 대상 설비 조회/신규지정, 설비별 법정검사 일정 등록 및 실적 확인</t>
  </si>
  <si>
    <t>예방점검 대상 설비 등록, 점검항목·점검기준·점검일정 설계 및 예방점검 결과 등 예방점검 전과정 관리</t>
  </si>
  <si>
    <t>경상정비, 공사, Red Tag, 예방점검 현황 및 운영상태 파악을 위한 작업 통계 제시</t>
  </si>
  <si>
    <t>다양한 기준에 따른 고장통계의 조회·집계·분석</t>
  </si>
  <si>
    <t>TM 조회 및 발행</t>
  </si>
  <si>
    <t>로그시트 조회/등록/수정/승인</t>
  </si>
  <si>
    <t>인계인수 일지 조회/등록/수정</t>
  </si>
  <si>
    <t>운전시간 조회/등록/수정</t>
  </si>
  <si>
    <t>정비회의 조회 및 회의자료 첨부 및 다운로드</t>
  </si>
  <si>
    <t>도면, 매뉴얼, 준공도서, 사양서 등 유지보수 및 자재관리 관련 기술자료 관리</t>
  </si>
  <si>
    <t>○ 도면, 매뉴얼, 준공도서, 사양서, 지침서 등 유지보수 및 자재관리 관련 기술자료의 파일형태 등록/수정/삭제 기능
○ 기술자료는 PDF, CAD, 이미지, 오피스 문서 등 다양한 형식의 파일 등록 기능
○ 등록된 기술자료의 파일명, 내용 등 조건에 따른 조회 및 열람, 다운로드 기능
○ 기술자료 개정 시, 이전 버전의 이력관리 기능</t>
  </si>
  <si>
    <t>시스템 내 결재 업무 시 공통적인 사항</t>
  </si>
  <si>
    <t>프로젝트 공람 기능</t>
  </si>
  <si>
    <t>파일 업로드 및 다운로드 기능</t>
  </si>
  <si>
    <t>건설정보시스템 대시보드 메인화면 기능 (사용자 관련 건설정보 내 프로젝트 전반)</t>
  </si>
  <si>
    <t>건설정보시스템 상단메뉴 메인화면 기능(프로젝트와 무관하게 상시 조회 가능한 메뉴로 구성)</t>
  </si>
  <si>
    <t>프로젝트별 메인화면 중 대시보드 기능</t>
  </si>
  <si>
    <t>프로젝트별 메인화면 중 좌측메뉴 기능</t>
  </si>
  <si>
    <t>프로젝트 정보 기능</t>
  </si>
  <si>
    <t>건설사가 설계 성과물 제출을 위한 문서송부전 작성</t>
  </si>
  <si>
    <t>문서송부전 작성결과를 검토하여 문서처리전으로 회신</t>
  </si>
  <si>
    <t>건설사가 Vender Print 성과물 제출을 위한 Submittal 검토의뢰서 작성</t>
  </si>
  <si>
    <t>각 부서 담당자가 결과를 검토하여 Submittal 검토의견서 회신</t>
  </si>
  <si>
    <t>설계사 또는 건설사에 업무지시를 위한 업무지시전 등록</t>
  </si>
  <si>
    <t>처리결과에 대한 업무처리전 등록</t>
  </si>
  <si>
    <t>수발신문서의 현황 조회</t>
  </si>
  <si>
    <t>Detail Setup, Revision, Stage, Class, Process Code 등 DCL 관리</t>
  </si>
  <si>
    <t>DCL 조건검색 및 현황 관리</t>
  </si>
  <si>
    <t>DCL 지연 리스트 조회</t>
  </si>
  <si>
    <t>DCL 관련 레포트 검토</t>
  </si>
  <si>
    <t>현장기술지원</t>
  </si>
  <si>
    <t>검토이력 관련 정보 SHEET 제공 기능</t>
  </si>
  <si>
    <t>첨부 Viewer 툴을 이용한 열람, 편집 기능</t>
  </si>
  <si>
    <t>매뉴얼 및 사용자 세부 매뉴얼에 관한 사항</t>
  </si>
  <si>
    <t>외부 접근 제한</t>
  </si>
  <si>
    <t>정보누출금지 사항</t>
  </si>
  <si>
    <t>보안위규 처리기준에 관한 사항</t>
  </si>
  <si>
    <t>보안 위약금 부과 기준에 관한 사항</t>
  </si>
  <si>
    <t>용역 수행 시 보안에 관한 사항</t>
  </si>
  <si>
    <t>망 접근 시 보안 관리</t>
  </si>
  <si>
    <t>사업 진행 단계별 보안 관련 관리해야 할 사항</t>
  </si>
  <si>
    <t>DB 명세서 및 마이그레이션 방안 제시</t>
  </si>
  <si>
    <t>DB 설계 시, 한국지역난방공사 DB 표준 정책 준수</t>
  </si>
  <si>
    <t>○ 우리 공사의 ‘데이터 관리 절차서’, ‘데이터 표준관리 절차서’, ‘데이터 구조관리 절차서’를 준수하여, 전사 데이터 표준메타를 적용하고, 개념/물리/논리 데이터모델을 설계함
○ DB상세설계 시, 신규 정보시스템 등록정보 (①시스템 기본정보, ②담당자, ③DB연결정보, ④개념/논리/물리데이터 모델, ⑤인터페이스 목록)를 데이터 관리조직에 제출
○ 데이터 관리조직으로부터 데이터모델 보완을 요구받을 시, 필히 개선을 수행함
○ 상용 솔루션 고유 데이터 모델의 경우 비표준 대상으로 관리하여 표준준수 대상에서 제외 가능</t>
  </si>
  <si>
    <t>AI 지원을 위한 데이터 구조 표준 수립</t>
  </si>
  <si>
    <t>○ 동일 데이터 중복 방지 방안 제시
○ 우리 공사가 제시하는 데이터 관리 요구사항 준수
○ 데이터 정제/변환/저장과정 모니터링을 위한 로그관리</t>
  </si>
  <si>
    <t>목표시스템의 표준 제약에 관한 사항</t>
  </si>
  <si>
    <t>○ 시스템은 기존의 국가표준 및 정보화 기술지원기관에서 확정한 표준화 내용 준수
○ 전자정부 구축을 위한 기술 아키텍처 표준을 제시한 “행정기관 및 공공기관 정보시스템 구축·운영 기술 지침(행정 안전부 고시)” 준수 
○ 시스템은 웹 접근성 관련 표준인 ‘한국형 웹 콘텐츠 접근성 지침 2.2(KWCAG 2.2)’ 준수</t>
  </si>
  <si>
    <t>감리 대응 및 협조</t>
  </si>
  <si>
    <t>○ 감리 계획 수립 및 감리 협조 
 - 관련규정: 전자정부지원사업 관리지침 제23조 및 전자정부법 제57조(행정기관등의 정보 시스템 감리) 
 - 감리계획에 따른 실행에 대응
 - 수요기관이 추후 별도의 전문기관을 통해 감리를 실시하는 경우,한국정보화진흥원의 ‘정보화사업 감리수행 가이드’에 기재된 사항을 점검할 수 있도록 감리법인이 점검하기 위한 산출물을 작성하여 제출</t>
  </si>
  <si>
    <t>○ 기술적용계획표 및 결과표 작성 방안 제시 
 - 기술적용계획표의 기술표준이 본 사업에 부합하는지 검토하여야 하며, 변경이 필요할 경우 타당한 사유를 제시하여 발주자와 상호 협의하여 조정
○ 기술적용계획표 및 결과표 작성
 - 공공 SW사업 기술표준을 준수하여야 하며, 제안서에 “행정기관 및 공공기관 정보 시스템 구축운영지침(행정안전부고시)”에 의한 [붙임 1] ‘기술적용계획표’  작성·제출
 - 사업자는 계약체결 후 사업수행계획서 제출 시 ‘정보시스템의 구축·운영 기술지침’에 따라 ‘기술적용계획 및 결과표’를 첨부하여 발주자 검토 필요
 - 발주처가 작성한 기술적용계획표의 검토 및 준수와 결과표 작성 방안 제시
 - 기술적용계획표의 기술표준이 본 사업에 부합하는지 검토하여야 하며, 변경이 필요할 경우 타당한 사유를 제시하여 발주처와 상호 협의하여 조정</t>
  </si>
  <si>
    <t>목표시스템의 개발제약에 관한 사항</t>
  </si>
  <si>
    <t>○ 시스템의 핵심 규칙/데이터/업무로직을 구성하는 단위시스템은 현 시점에서 한국 전자정부 표준/국제 표준으로 받아들여지고 있는 표준 SOA 구현 기술(SOAP, UDDI, WSDL)등을 준수하여 개발 
○ 목표시스템에 적용할 수 있는 공통 컴포넌트의 사용계획 및 활용방안 제시
○ 시스템은 제시된 방법론의 절차와 과정(개발표준, 기술표준 문서화)에 따른 개발
○ 어플리케이션은 특정 하드웨어나 운영체제(OS)에 종속되지 않고 향후 유연성, 확장성 및 유지보수가 용이하도록 개발
○ 본 과업 수행 시 발생되는 화면처리 흐름, 신규 코드 분류 등 향후 운영 및 유지관리에 영향을 주는 제반사항은 감독과 사전에 협의하여 시행
○ 그래픽, 입력, 검색 등 각종 화면 및 처리방법은 감독과 협의하여 결정
○ 프로그램 작성 기법과 문서화 작업은 사전에 감독과 협의하여 결정하고 소스 작성 시 주석을 상세히 기술
○ 본 과업을 수행함에 있어 연계되는 시스템의 유지보수팀과의 정보를 공유하고 상호 간에 긴밀한 협조를 유지할 수 있는 체계를 마련하여 본 과업이 차질 없이 수행
○ 본 용역의 수행으로 인해 연계되는 시스템에 영향을 주어서는 안됨
○ 프로젝트 범위 내 ActiveX 사용 및 하드코딩 배제</t>
  </si>
  <si>
    <t>목표시스템의 법적 제약에 관한 사항</t>
  </si>
  <si>
    <t>○ 시스템은 개인정보보호를 위하여 ‘개인정보보호법’ 준수
○ 시스템은 ‘전자정부 웹사이트 품질관리 지침’ 준수
○ 시스템은 ‘행정정보데이터베이스 표준화 지침’ 준수
○ 시스템은 ‘행정기관의 코드표준화 추진지침‘ 준수
○ 시스템은 다양한 웹 브라우저에서 접근할 수 있도록 W3C의 국제표준 적용
○ 본 사업은「소프트웨어 진흥법 제46조」에 따라 해당 사업 수주자는 SW사업정보(SW사업 수행 및 실적 정보) 데이터를 작성 및 제출
 - SW사업정보는 SW사업정보 저장소(www.spir.kr)에 총 2회 제출
   (1차 : 사업계약 완료 후 1개월 이내, 2차 : 사업 종료 후 1개월 이내)
 - 데이터 작성에 대한 기본적인 책임은 해당사업 수주기업에 있고 사업 수주자가 작성하기 어려운 항목에 대해서는 발주 담당자가 작성할 수 있으며, 데이터 제출 시 발주기관의 최종 승인을 득한 후 제출
 - SW사업정보 데이터는 사업수행계획서 작성 시 단계별 산출물 리스트에 반드시 명시
○ SW사업정보 중 기능점수 데이터를 작성하여 제출</t>
  </si>
  <si>
    <t>목표시스템의 기타 제약사항에 관한 사항</t>
  </si>
  <si>
    <t>○ 본 과업은 관련 법규, 용역 규정 및 과업내용서와 감독원의 지시에 따라 수행하여야 하며 과업내용서에 명시된 모든 항목은 최소한의 사항만을 규정하였으므로 상세히 기술되지 않았거나 누락된 사항에 대하여 운영상 문제가 발생하지 않도록 해야 함
○ 본 과업지시서 상에 명시된 사항 중 해석상의 이견이 있을 시 공사와 계약상대자간에 상호 협의하여 조정</t>
  </si>
  <si>
    <t>○ 제안사가 제공한 소프트웨어 사용기간 동안 동 소프트웨어로 인하여 발주자가 소유권 및 지적재산권 침해에 대한 소송상 또는 소송의 청구를 당하거나 그로 인한 재판이 결정된 경우, 공급업체는 자기의 비용과 선택으로 즉시 동 소프트웨어의 계속 점유권 및 사용권을 발주자에게 부여하거나 또는 소유권 및 지적재산권 침해 소프트웨어와 동등 또는 더 우수한 물품으로 대체하고 문제가 된 소프트웨어를 철거하여야 한다.
○ 제안사는 구축된 시스템이 국내의 저작권 침해 등 법적 권리관계의 문제 발생 시 이에 대한 조치 및 책임을 져야 하며 이에 따른 손해배상의 책임도 제안사에게 있음
○ 제안사는 계약에 의거 제공한 HW, SW가 국내외의 특허권 및 저작권을 침해한다는 이유로 소송을 제기 받을 경우 발주자에게 발생한 모든 손해 및 배상을 책임져야 함</t>
  </si>
  <si>
    <t>품질관리 방안</t>
  </si>
  <si>
    <t>형상 및 산출물 관리 사항</t>
  </si>
  <si>
    <t>시스템 무중단 운영 사항</t>
  </si>
  <si>
    <t>품질관리 일반요건 사항</t>
  </si>
  <si>
    <t>관련 시스템 연계</t>
  </si>
  <si>
    <t>단위/통합테스트 등에 대한 효율적 방안 제시</t>
  </si>
  <si>
    <t>테스트 수행 및 결과보고</t>
  </si>
  <si>
    <t>○ 개발초기부터 구축 완료까지 지속적으로 테스트를 실시하여야 하며 테스트 결과의 모니터링 및 테스트 결과를 계속적으로 반영
○ 단위테스트는 수행팀이 1차 자체적으로 수행하고 결과 보고
○ 통합테스트는 수행팀 주관으로 현업 입회 하에 실시하는 것을 원칙으로 하며, 세부 사항은 협의 후 실시
○ 통합테스트는 구축한 시스템을 품질서버에 적용하여 수행팀 주관으로 수행 후 결과 보고</t>
  </si>
  <si>
    <t>착수 및 과업수행계획</t>
  </si>
  <si>
    <t>○ 사업수행 중 인력, 범위, 기술, 공정, 변경관리 등 발생 가능한 위험에 대한 식별 관리 방안 제시</t>
  </si>
  <si>
    <t>○ 사업 추진조직과 원활한 의사소통을 위한 방안 제시 및 의사소통 채널 운영</t>
  </si>
  <si>
    <t xml:space="preserve">사업 보고에 관한 사항 </t>
  </si>
  <si>
    <t xml:space="preserve">○ 준공신청은 사업종료일 전에 요청하여야 하며, 수행사와 공사가 협의하여 인수인계 일정 결정 </t>
  </si>
  <si>
    <t>개발장소 정의 및 개발환경 구성</t>
  </si>
  <si>
    <t>○ 작업장소 상호 협의 
 - 작업장소는 상호 협의하여 결정하되, 작업장소(원격지 또는 발주처내)에 상관없이 정보화사업 수행업체 보안 준수사항을 반드시 지켜야 하며, 본 사업수행을 위한 사무환경 및 집기비품, 개발에 필요한 장비는 사업자 부담
 - 사업자는 작업장소 상호협의 시 보안요구사항을 준수한 작업장소를 제시할 수 있으며, 발주기관에서는 제시된 작업장소에 관하여 우선 검토. 다만, 발주기관에서는 사업자가 제시한 작업장소가 보안요구사항을 준수하지 못한 경우 거부할 수 있음. 
○ 용역수행자의 근무지 
 - 투입인력에 대한 작업장소는 발주자와 협의하여 정하며 투입인력은 작업장소에 상주하며 비상주 인력에 대해서는 타당한 비상주 사유를 명시하여야 함
○ 비품, 소모품, 통신 등 
 - 발주자는 비품(책상, 의자)과 전화/인터넷 회선(PM에 한해 제공) 등의 통신환경 제공하며, 그외 비품은 필요시 계약사가 구비</t>
  </si>
  <si>
    <t>사업수행 조직 및 인력</t>
  </si>
  <si>
    <t>형상 연동형 실시간 진척/ 공정관리 체계 적용</t>
  </si>
  <si>
    <t>AI 기반 소스코드 품질 진단 및 요구사항 추적 관리</t>
  </si>
  <si>
    <t>PMR-010</t>
  </si>
  <si>
    <t>AI 코딩 어시스턴트 환경 구축</t>
  </si>
  <si>
    <t>목표시스템의 안정화를 위한 활동 계획 및 이행방안 제시</t>
  </si>
  <si>
    <t>체계적인 시험운영의 시행</t>
  </si>
  <si>
    <t>○ 시험운영은 개발 및 시스템 오픈 후 준공이전까지 최소 3개월 이상 시행
○ 개발 및 테스트가 완료된 시스템과 운영을 위한 DB를 구성하여 실제 운영환경에서 수행하며, 운영과 관련된 발주기관의 해당부서 담당자들이 업무수행과정에서 해당 시스템 및 DB를 활용하여 진행할 수 있도록 시나리오를 체계적으로 구성하여 진행</t>
  </si>
  <si>
    <t>교육 및 기술 지원 사항</t>
  </si>
  <si>
    <t>기술이전 방안</t>
  </si>
  <si>
    <t>목표시스템의 하자보수에 관한 사항</t>
  </si>
  <si>
    <t xml:space="preserve">○ 보안서약 및 책임 개념 정의 
 - 사업에 참여하는 모든 인원은 사업 착수 시 별도양식에 의하여 보안 서약서를 반드시 제출
 - 사업 수행 중 취득한 지식에 대하여 과업수행 중은 물론 사업이 완료된 후에도 외부에 누설하거나 다른 용도로 이용해서는 안 되며, 이를 위반하였을 경우 법적인 책임을 짐
  * 사업 수행 중 취득한 보안 사항 및 시스템 내부 자료 및 통신망 구성 등에 대하여 보안을 유지 
  * 제안사는 전산실 출입 등에 필요한 보안사항을 충실히 이행 
  * 용역사업 착수 시 참여인원에 대해 법률 또는 발주처의 규정에 의한 비밀 유지의무 준수 및 위반 시 처벌 내용 등에 대한 자체 보안교육을 실시하며, 공사가 요구하는 보안교육에 참석 </t>
  </si>
  <si>
    <t>참여인원에 대한 보안관리</t>
  </si>
  <si>
    <t>○ 참여인원에 대한 보안관리 
 - 용역 착수 시 대표자 및 사업 참여인원에 한하여 자필서명이 들어간 보안서약서를 제출하고 신원조사에 응해야 하며 조사결과 결격사유가 없어야 하며 인력 변동사항이 발생하면 즉시 서면으로 통보
 - 공사는 사업 참여인원에 대해 비밀유지 의무 준수 및 위반 시 처벌내용 등에 대한 보안 교육을 실시할 수 있으며, 제안사는 이에 응하여야 함
 - 사업수행업체는 용역사업 수행 중 공사에서 실시하는 정기·불시 보안점검에 성실히 임하여야 하며, 보안점검 시 지적사항은 제안사 보안위규처리 기준에 따라 처리한 후, 보안위약금 부과 기준에 따라 처리
 - 사업수행업체와 사업 참여인원은 보안준수사항을 위반하여 발생하는 모든 민·형사상 책임 및 그에 따른 유·무형의 손해에 대하여 모든 책임을 져야 함</t>
  </si>
  <si>
    <t>정보보안 계획 및 방안제시</t>
  </si>
  <si>
    <t>○ 사업수행기간 중 보안 관련법규를 준수하고, 대외 보안유지에 적극 협조하여야 함
 - 사업 수행기간 중 중요 데이터 등 정보 누출에 대비하여 구체적인 정보보호계획 및 방안 제시
○ 사업관련 자료 보안방안 개념 정의 
 - 사업수행업체는 사업기간 내 뿐만 아니라 사업완료 후에도 공사가 지정한 누출금지 대상 정보를 무단으로 누출하였을 경우 “국가를 당사자로 하는 계약에 관한 법률” 제76조에 의거 부정당업자로 지정되어 입찰참가 자격이 제한될 수 있으며, 고의나 과실을 불문하고 사업수행업체와 사업수행업체의 인력이 민·형사상의 모든 책임을 져야 한다. 
 - 누출금지 대상 정보 및 기타 사업에 필요한 정보를 요청할 시에는 자료관리 대장에 인수·인계자가 직접 서명한 후 자료를 제공 받아야 하며, 사업완료 시 관련 자료를 지체없이 반납 또는 폐기하여야 한다. 
 - 사업수행으로 생산되는 산출물 및 기록은 공사 보안담당자가 인가하지 않은 비인가자 에게 제공·대여·열람을 금지하여야 한다.</t>
  </si>
  <si>
    <t>목표시스템의 장애관리 및 백업지원</t>
  </si>
  <si>
    <t>○ 사업의 종료 후 12개월간 시스템 이상발생 또는 장애접수 후 8시간 이내에 보수가 가능하도록 유지관리 요원의 신속한 대응 필요
○ 장애 발생 시 원인분석 및 복구 등 즉각 조치가 가능하도록 기술지원부서 확보
○ 시스템 관리 담당자를 지정하고 주기적으로 시스템 모니터링, 백업/복구, 및 작업 관리 실시
○ 장애 조치 완료 후에 처리사항에 대한 철저한 기록관리를 수행하고 공사에 레포트 제출</t>
  </si>
  <si>
    <t>표준화 방법론 제시</t>
  </si>
  <si>
    <t>○ 설비, 자재, 유지보수,건설시스템 DB  표준화 방법론(활동, 일정 등) 정의 및 제시</t>
  </si>
  <si>
    <t>설비 표준체계 및 기준정보 표준화</t>
  </si>
  <si>
    <t>자재 표준체계 및 기준정보 표준화</t>
  </si>
  <si>
    <t>유지보수 설계 표준화</t>
  </si>
  <si>
    <t xml:space="preserve"> 데이터 표준 수립 및 상위표준 준수</t>
  </si>
  <si>
    <t xml:space="preserve"> 데이터 표준 수립 및 상위표준 준수</t>
    <phoneticPr fontId="4" type="noConversion"/>
  </si>
  <si>
    <t xml:space="preserve"> 데이터 표준 수립</t>
  </si>
  <si>
    <t xml:space="preserve"> 데이터 표준 수립</t>
    <phoneticPr fontId="4" type="noConversion"/>
  </si>
  <si>
    <t xml:space="preserve"> 표준용어 정의서, 표준단어 정의서, 표준도메인 정의서, 표준코드 정의서
 (SMETA 업로드 후 산출물 다운로드하여 제출)</t>
    <phoneticPr fontId="4" type="noConversion"/>
  </si>
  <si>
    <t xml:space="preserve"> 데이터 표준관리</t>
  </si>
  <si>
    <t xml:space="preserve"> 데이터 표준관리</t>
    <phoneticPr fontId="4" type="noConversion"/>
  </si>
  <si>
    <t xml:space="preserve"> 데이터 표준관리 방안</t>
  </si>
  <si>
    <t xml:space="preserve"> 데이터 표준관리 방안</t>
    <phoneticPr fontId="4" type="noConversion"/>
  </si>
  <si>
    <t xml:space="preserve"> 데이터 표준관리 방안(매뉴얼, 가이드 등)</t>
  </si>
  <si>
    <t xml:space="preserve"> 데이터 표준관리 방안(매뉴얼, 가이드 등)</t>
    <phoneticPr fontId="4" type="noConversion"/>
  </si>
  <si>
    <t xml:space="preserve"> 데이터 구조 설계</t>
  </si>
  <si>
    <t xml:space="preserve"> 데이터 구조 설계</t>
    <phoneticPr fontId="4" type="noConversion"/>
  </si>
  <si>
    <t xml:space="preserve"> 데이터 구조설계 원칙</t>
  </si>
  <si>
    <t xml:space="preserve"> 데이터 구조설계 원칙</t>
    <phoneticPr fontId="4" type="noConversion"/>
  </si>
  <si>
    <t xml:space="preserve"> 데이터 구조 검증</t>
  </si>
  <si>
    <t xml:space="preserve"> 데이터 구조 검증</t>
    <phoneticPr fontId="4" type="noConversion"/>
  </si>
  <si>
    <t xml:space="preserve"> 데이터 모델 검증</t>
  </si>
  <si>
    <t xml:space="preserve"> 데이터 모델 검증</t>
    <phoneticPr fontId="4" type="noConversion"/>
  </si>
  <si>
    <t xml:space="preserve"> 데이터 구조 관리</t>
  </si>
  <si>
    <t xml:space="preserve"> 데이터 구조 관리</t>
    <phoneticPr fontId="4" type="noConversion"/>
  </si>
  <si>
    <t xml:space="preserve"> 데이터 구조 관리 방안</t>
  </si>
  <si>
    <t xml:space="preserve"> 데이터 구조 관리 방안</t>
    <phoneticPr fontId="4" type="noConversion"/>
  </si>
  <si>
    <t>데이터 구조관리 방안(매뉴얼, 가이드 등)</t>
  </si>
  <si>
    <t>데이터 구조관리 방안(매뉴얼, 가이드 등)</t>
    <phoneticPr fontId="4" type="noConversion"/>
  </si>
  <si>
    <t xml:space="preserve"> 데이터 값 검증</t>
  </si>
  <si>
    <t xml:space="preserve"> 데이터 값 검증</t>
    <phoneticPr fontId="4" type="noConversion"/>
  </si>
  <si>
    <t xml:space="preserve"> 데이터 값 검증 방안</t>
  </si>
  <si>
    <t xml:space="preserve"> 데이터 값 검증 방안</t>
    <phoneticPr fontId="4" type="noConversion"/>
  </si>
  <si>
    <t xml:space="preserve"> 이관 데이터 값 검증</t>
  </si>
  <si>
    <t xml:space="preserve"> 이관 데이터 값 검증</t>
    <phoneticPr fontId="4" type="noConversion"/>
  </si>
  <si>
    <t xml:space="preserve"> 목표 시스템으로 데이터 이관</t>
  </si>
  <si>
    <t xml:space="preserve"> 목표 시스템으로 데이터 이관</t>
    <phoneticPr fontId="4" type="noConversion"/>
  </si>
  <si>
    <t xml:space="preserve"> 데이터 관리체계 수립</t>
  </si>
  <si>
    <t xml:space="preserve"> 데이터 관리체계 수립</t>
    <phoneticPr fontId="4" type="noConversion"/>
  </si>
  <si>
    <t>데이터(표준, 구조, 값) 관리 매뉴얼, 연계 데이터 관리 매뉴얼, 연계데이터 정의서</t>
  </si>
  <si>
    <t>데이터(표준, 구조, 값) 관리 매뉴얼, 연계 데이터 관리 매뉴얼, 연계데이터 정의서</t>
    <phoneticPr fontId="4" type="noConversion"/>
  </si>
  <si>
    <t>데이터 개방 및 메타데이터 관리체계</t>
  </si>
  <si>
    <t>데이터 개방 및 메타데이터 관리체계</t>
    <phoneticPr fontId="4" type="noConversion"/>
  </si>
  <si>
    <t>개방데이터 서비스 연속성 확보 및 메타데이터 현행화</t>
  </si>
  <si>
    <t>개방데이터 서비스 연속성 확보 및 메타데이터 현행화</t>
    <phoneticPr fontId="4" type="noConversion"/>
  </si>
  <si>
    <t>DAR-005</t>
  </si>
  <si>
    <t>DAR-006</t>
  </si>
  <si>
    <t>DAR-007</t>
  </si>
  <si>
    <t>DAR-008</t>
  </si>
  <si>
    <t>DAR-009</t>
  </si>
  <si>
    <t>DAR-010</t>
  </si>
  <si>
    <t>DAR-011</t>
  </si>
  <si>
    <t>DAR-012</t>
  </si>
  <si>
    <t>DAR-013</t>
  </si>
  <si>
    <t>기능 요구사항</t>
  </si>
  <si>
    <t>프로젝트 폴더와 프로젝트 문서관리</t>
  </si>
  <si>
    <t>보안 요구사항</t>
  </si>
  <si>
    <t>데이터 요구사항</t>
  </si>
  <si>
    <t>데이터 모델 검증 계획·결과</t>
  </si>
  <si>
    <t>데이터 값 진단 계획·결과, 업무규칙 정의서
값진단 결과서 및 업무규칙 정의서는 SDQ를 이용한 결과 제출</t>
  </si>
  <si>
    <t>이관 데이터 검증 계획·결과</t>
  </si>
  <si>
    <t>개방데이터 서비스 연속성 확보 방안 계획·결과, 메타데이터 현행화 결과</t>
  </si>
  <si>
    <t>개념/논리/물리데이터모델</t>
  </si>
  <si>
    <t>제약사항</t>
  </si>
  <si>
    <t>성능 요구사항</t>
  </si>
  <si>
    <t>품질 요구사항</t>
  </si>
  <si>
    <t>인터페이스 요구사항</t>
  </si>
  <si>
    <t>테스트 요구사항</t>
  </si>
  <si>
    <t>관리방법론</t>
  </si>
  <si>
    <t>기밀보안</t>
  </si>
  <si>
    <t>컨설팅 요구사항</t>
  </si>
  <si>
    <t>설비 표준화 및 DB화</t>
    <phoneticPr fontId="4" type="noConversion"/>
  </si>
  <si>
    <t>자재 표준화 및 DB화</t>
    <phoneticPr fontId="4" type="noConversion"/>
  </si>
  <si>
    <t>유지보수 표준화 및 DB화</t>
    <phoneticPr fontId="4" type="noConversion"/>
  </si>
  <si>
    <t>로그인, 사용자 정보 관리</t>
    <phoneticPr fontId="4" type="noConversion"/>
  </si>
  <si>
    <t>사용자 정보 관리, 계정 및 권한 관리</t>
    <phoneticPr fontId="4" type="noConversion"/>
  </si>
  <si>
    <t>시큐어 코딩 및 보안 취약점 제거</t>
    <phoneticPr fontId="4" type="noConversion"/>
  </si>
  <si>
    <t>데이터 및 DB 암호화</t>
    <phoneticPr fontId="4" type="noConversion"/>
  </si>
  <si>
    <t>사용자 정보에 대한 저장 관리 방안 정의</t>
    <phoneticPr fontId="4" type="noConversion"/>
  </si>
  <si>
    <t>개인정보보호법 관련 준수</t>
    <phoneticPr fontId="4" type="noConversion"/>
  </si>
  <si>
    <t>개인정보 생애주기를 고려한 체계적인 개인정보보호법 준수에 대한 정의</t>
    <phoneticPr fontId="4" type="noConversion"/>
  </si>
  <si>
    <t>기타 보안사항</t>
    <phoneticPr fontId="4" type="noConversion"/>
  </si>
  <si>
    <t>API 보안 관리</t>
    <phoneticPr fontId="4" type="noConversion"/>
  </si>
  <si>
    <t>API 사용 시 보안 관리 방안</t>
    <phoneticPr fontId="4" type="noConversion"/>
  </si>
  <si>
    <t>시스템의 목표 달성 여부를 객관적으로 측정하기 위해 성과지표를 수립</t>
    <phoneticPr fontId="4" type="noConversion"/>
  </si>
  <si>
    <t>시스템 성과측정 및 로그 개발</t>
    <phoneticPr fontId="4" type="noConversion"/>
  </si>
  <si>
    <t>성과측정</t>
    <phoneticPr fontId="4" type="noConversion"/>
  </si>
  <si>
    <t>일상감사 사전검토 반영</t>
    <phoneticPr fontId="4" type="noConversion"/>
  </si>
  <si>
    <t xml:space="preserve">기존 시스템 단계적 폐기 계획서 </t>
    <phoneticPr fontId="4" type="noConversion"/>
  </si>
  <si>
    <t xml:space="preserve">기존 노후 시스템(PIMS, 건설관리시스템)의 현황 분석 및 단계적 폐기 로드맵 수립 </t>
    <phoneticPr fontId="4" type="noConversion"/>
  </si>
  <si>
    <t>기존 시스템 단계적 폐기 계획 수립</t>
    <phoneticPr fontId="4" type="noConversion"/>
  </si>
  <si>
    <t>CNR-005</t>
  </si>
  <si>
    <t>기존 시스템 단계적 폐기 계획 수립</t>
  </si>
  <si>
    <t>SFR-072</t>
  </si>
  <si>
    <t>시스템 성과측정 및 로그 개발</t>
  </si>
  <si>
    <t>SER-008</t>
  </si>
  <si>
    <t>로그인, 사용자 정보 관리</t>
  </si>
  <si>
    <t>SER-009</t>
  </si>
  <si>
    <t>시큐어 코딩 및 보안 취약점 제거</t>
  </si>
  <si>
    <t>SER-010</t>
  </si>
  <si>
    <t>데이터 및 DB 암호화</t>
  </si>
  <si>
    <t>SER-011</t>
  </si>
  <si>
    <t>개인정보보호법 관련 준수</t>
  </si>
  <si>
    <t>SER-012</t>
  </si>
  <si>
    <t>기타 보안사항</t>
  </si>
  <si>
    <t>SER-013</t>
  </si>
  <si>
    <t>API 보안 관리</t>
  </si>
  <si>
    <t>○ 성과관리 지침 준수
 -  '전자정부 성과관리 지침' 및 관련 매뉴얼에서 제시하는 성과측정 방법론을 준수하여 사업을 수행해야 함. 
○ 성과측정 계획 수립
 - 사업 착수 단계에서 성과달성 지표 설계 내역이 포함된 '시스템 성과측정 계획서(안)'를 제출하여 발주기관의 승인을 받아야 함. 
 - 성과지표는 기능별로 구체화되어야 하며, 측정 가능한 정량적 지표를 우선적으로 반영함. 
○ 성과측정 로그 설계 및 개발
 - 기능점수(FP) 및 단위 기능별 성과측정이 가능하도록 시스템 내 로그 생성 기능을 설계 및 개발 역무에 포함해야 함. 
 - 생성된 로그는 사용자의 이용 행태, 시스템 처리 효율성 등 성과지표 측정의 기초 자료로 활용될 수 있어야 함.</t>
  </si>
  <si>
    <t>시스템의 목표 달성 여부를 객관적으로 측정하기 위해 성과지표를 수립</t>
  </si>
  <si>
    <t>사용자 정보 관리, 계정 및 권한 관리</t>
  </si>
  <si>
    <t>○ 시스템 개발 시 OS 웹서버 등에 보안패치를 실시하여야 함
○ 초기 개발 단계부터 ‘소프트웨어 개발보안 가이드(행정안전부)’를 적용하여  응용소프트웨어를 개발하여야 함
○ 수행절차에 따라 다음의 가이드를 이행
  - 요구정의 단계 : 시큐어 코딩 표준작성 및 개발자 교육 실시
  - 설계/구현 단계 : 시큐어코딩 표준준수 및 검토
  - 테스트 단계 : 시큐어코딩 진단 미 보안취약점 진단
○ “행정기관 및 공공기관 정보시스템 구축ㆍ운영 지침” 의 별표3 ‘소프트웨어 보안약점 기준’을 참조하여 웹보안 취약점을 사전에 점검하고 조치
○ 공사에서 제공하는 시큐어 코딩 진단 장비를 이용하여 개발에 적용함
○ 도입되는 모든 정보자원은 발생할 수 있는 다양한 보안 취약점을 사전에 분석하고 제거를 완료하여 안전한 제품으로 설치</t>
  </si>
  <si>
    <t>사용자 정보에 대한 저장 관리 방안 정의</t>
  </si>
  <si>
    <t>개인정보 생애주기를 고려한 체계적인 개인정보보호법 준수에 대한 정의</t>
  </si>
  <si>
    <t>API 사용 시 보안 관리 방안</t>
  </si>
  <si>
    <t xml:space="preserve">○ API 사용 시 다음의 보안 관리 방안을 준수해야 함
 - API키 암호화된 파일 내 보관
 - API키 사용자 접근 권한 최소화 및 정기 점검
 - 악의적 활동 발견 시 대응 방안 마련 </t>
  </si>
  <si>
    <t>설비 표준화 및 DB화</t>
  </si>
  <si>
    <t>자재 표준화 및 DB화</t>
  </si>
  <si>
    <t>유지보수 표준화 및 DB화</t>
  </si>
  <si>
    <t xml:space="preserve">기존 노후 시스템(PIMS, 건설관리시스템)의 현황 분석 및 단계적 폐기 로드맵 수립 </t>
  </si>
  <si>
    <t>○ 대상 시스템 현황 분석 
 -  플랜트관리시스템(PIMS) 및 건설관리시스템의 데이터 구조, 사용자 권한, 잔여 프로세스 등을 정밀 분석해야 함. 
○ 단계적 폐기 로드맵 작성 
 - 신규 시스템의 안정화 시기(오픈 후 일정 기간 병행 운영 등)를 고려하여 기존 시스템의 기능을 단계별로 중단하는 구체적인 일정을 수립해야 함. 
○ 폐기 절차 및 보고
  - 시스템 폐기 시 발생할 수 있는 업무 공백 방지 대책을 마련해야 하며, 시스템 오픈 시점에 발주기관의 별도 보고 절차(경영진 보고 등)를 지원해야 함</t>
  </si>
  <si>
    <t>2026. 04</t>
    <phoneticPr fontId="9" type="noConversion"/>
  </si>
  <si>
    <t>○ 결재 진행 중 결재선 수정 기능
○ 모든 결재자의 결재문서에 대한 의견 등록 기능
○ 결재가 완료되지 않은 문서의 최종승인 전에 회수 기능
○ 결재가 부재 시 대결자 관리 기능
○ 담당자 변경 시 이전 담당자의 업무 이력 공유 기능
○ 프로젝트 담당자 변경 시 결재라인의 자동 변경 기능
○ 결재 지연 발생 시 알림 기능
○ 문서별로 결재 후 회신 프로세스 적용 검토(참조용/승인용/건설용/준공용)</t>
    <phoneticPr fontId="4" type="noConversion"/>
  </si>
  <si>
    <t>○ 문서의 공람 기능
○ 해당 지사 직원의 해당 지사 내 프로젝트 문서 공람은 가능, 편집은 불가능
○ 건설처 직원의 모든 프로젝트 열람 가능 (편집 불가능)</t>
    <phoneticPr fontId="4" type="noConversion"/>
  </si>
  <si>
    <t>○ 메뉴는 [프로젝트 정보, 협업, 사업관리, 품질실적관리, 프로젝트폴더]로 구성
○ 메뉴는 트리구조 메뉴가 직관적으로 나열
○ 프로젝트 정보는 [개요, 조직도]으로 구성
○ 협업은 [문서송부전/처리전, Submittal 의뢰서/의견서, 업무지시전/처리전, 현황]으로 구성
○ 사업관리는 [DCL Setup, EDCL, VDCL]으로 구성
○ 품질실적관리는 [입회신청서, 입회결과서, 현황]으로 구성</t>
    <phoneticPr fontId="4" type="noConversion"/>
  </si>
  <si>
    <t>○ 문서 등록/지연/처리기한 현황 조회 기능
○ 페이지 당 항목수 변경 기능
○ 수발신문서 속성 지정 및 Export 기능
○ 수발신문서 조건검색 기능</t>
    <phoneticPr fontId="4" type="noConversion"/>
  </si>
  <si>
    <t>○ DCL(EDCL, VDCL) 지연 리스트 조회 기능
○ 지연 리스트의 Export 기능</t>
    <phoneticPr fontId="4" type="noConversion"/>
  </si>
  <si>
    <t>○ 프로젝트 관리
 - 전자계약시스템과 연계하여 영업/계약 정보를 선택하여 프로젝트 생성 기능
 - 프로젝트 생성 시 템플릿을 선택하여 프로젝트에서 사용되는 폴더, 문서분류코드, STAGE, REV등 기본적인 정보 자동 설정 기능
 - 프로젝트 생성 시 기존 프로젝트를 참조하여 복사 기능
 - 프로젝트 생성 시 워크플로우 선택 기능
 -프로젝트 생성 시 설계회사, 지사, 건설사(시공사) 단독 또는 중복 등록 기능
 - 프로젝트명, 코드, 구분, 분야별 담당자, 배포처 설정, REV, 계약사, 계약일, 준공일 등 관리 기능
 - 프로젝트 진행현황 관리 기능
 - 문서 이력 관리 기능 (설계현황 및 진도, Revision 이력 등)
 - 분야별 DCL 현황 조회 기능
 - 프로젝트 종료 기능
 - 프로젝트 종료 시 타 시스템 연계를 통해 종료정보가 전달되며, 완료 프로젝트로 정리
○ 사용자 관리
 -프로젝트별 내부사용자 및 외부사용자 관리 기능
 - 내부사용자는 담당자 교체 시 이전 담당자의 업무 권한을 승계 받아 업무처리
 - 내부사용자와 프로젝트 폴더의 담당부서와 연동
 - 외부사용자는 해당 프로젝트의 프로젝트 폴더와 연동되어야 하며, 프로젝트 종료 시 외부사용자 계정은 사용중지 
○ 관련사/조직원 관리 (외부사용자)
 - 관련사/조직원의 조회/추가/수정/삭제/검색 등 기능
 - 관련사/조직원을 구분에 따른 추가 및 변경 기능(구분 없음, 계약상대자, 제조사, 설계사, 건설사, 기자재검사 등)
 - 템플릿 Export/Import를 통한 입력 기능
○ 프로젝트 폴더 관리
 -프로젝트 폴더의 추가/수정/이관/삭제 등 기능
 - 프로젝트 폴더는 표준 분류체계 내용대로 생성(OBS, FBS, PBS로 구성, 폴더구조는 FBS와 같은 형태)
 - 프로젝트 폴더 분류의 변경 기능
 - 생성된 프로젝트 폴더 내 VDLC(기자재도서), EDLC(설계도서)는 승인용, 건설용으로 구분
○ 설계계획서 설정
 - 설계 품질등급(1, 2, 3) 설정 기능(사업규모, 기간, 계약금액으로 자동설정 및 변경 가능)
 - 타 프로젝트의 속성의 복사 구성 기능
 - 설계성과물 Revision, Stage, Progress Code 설정 기능
 - 검토단계별 최소 검토일자 설정 기능
 - 설계성과물 리스트 개별 추가/수정/삭제 기능
 - 템플릿 Export/Import를 통한 설계성과물 입력 기능
 - 설계 준수사항 공지 기능
 - 작성 완료 후 검토 확인 요청 기능
 - 설계계획서 분야별 세부 확인 및 의견등록 기능
 - 설계계획서 분야별/일자별/타입별 등의 검색 기능
 - 최종수정일을 자동 체크 기능 (분야별 수시변경 가능)
 - 설계계획서 인쇄 기능(표준양식에 의한 설계계획서, 분야별 DCL 리스트)
○ 조직/제출목적/검토결과의 추가/수정/삭제 기능
○ 배포처 설정
 - 템플릿 Export/Import를 통한 입력 기능
○ 프로젝트 생성 템플릿 번호체계 (업무지시전, 문서처리전, Submittal, 품질관리) 추가/수정/삭제 기능
○ 속성, 사업소, 문서분류, 품질기자재, 품질부적합, 품질검사항목 등 코드관리 기능
○ 워크플로우는 프로젝트별로 다르게 적용</t>
    <phoneticPr fontId="4" type="noConversion"/>
  </si>
  <si>
    <t>○ 도서 검토의견에 대한 업체의 수정사항 반영결과의 기록 및 조회 기능
○ 검토의견에 대한 미반영 현황과 처리 결과의 Version 단위 조회 기능
○ 검토의견 작성 시, 검토의견 이력정보의 제공 및 확인 기능</t>
    <phoneticPr fontId="4" type="noConversion"/>
  </si>
  <si>
    <t>○ 첨부파일 중 도면 열람은 서버에 있는 파일을 로컬 PC로 다운받지 않고 계약상대자가 제공하는 첨부 Viewer로 열람 가능
○ 첨부 Viewer에서 검토 의견을 Markup(선, 텍스트, 도형입력 등)으로 표현
○ 첨부 Viewer에서 워터마크 표시 기능
○ 문서 출력 시 출력 화면에 정보(출력자, 출력일시 등)의 표시
○ 첨부 Viewer에서 텍스트를 색인하여 관련 자료의 검색 기능</t>
    <phoneticPr fontId="4" type="noConversion"/>
  </si>
  <si>
    <t>○ 데이터 표준 개선·정비 및 상위표준 준수
  - 시스템 고도화(기능 추가 등)에 따라 추가적으로 필요한 데이터 표준(단어, 용어, 도메인, 코드)을 정의하고 데이터베이스 표준(DB표준)에 추가(반영)하여야 함
  - DB표준 정의 시 공통표준(공공기관의 데이터베이스 표준화 지침(행정안전부 고시), 공공데이터 공통표준용어·단어·도메인)과 발주기관의 기관표준(기관표준용어·단어·도메인·코드) 준용 여부를 식별할 수 있도록 하여야 함
  - DB표준 수립 후 공사 내 표준관리시스템(SMETA) 내 업로드하여야 함</t>
  </si>
  <si>
    <t>○ 데이터 표준관리 방안 제시
  - 공사 관리 기준을 적용하여 관리방안 제시
  - 시스템 구축기간 동안 데이터 표준 관리를 위한 방안(변경이력 포함)을 제시하고 DB표준과 데이터 항목의 일치여부를 주기적으로 점검하여야 함</t>
  </si>
  <si>
    <t>○ 데이터 구조 설계 기준 제시
  - 데이터 구조 설계(모델링) 기준을 제시하고 이를 준수하여 데이터 구조를 설계, 구현하여야 함
○ 데이터 주제영역 정의 및 개념·논리·물리 모델 설계
  - 데이터 활용, 업무요건 변화, 시스템 변경 등으로 인한 DB의 구조적 변화가 최소화될 수 있도록 유연한 구조로 설계하여야 함
  - 업무규칙(BR) 처리를 위한 데이터 주제영역, 개념 데이터 모델, 논리 데이터 모델, 물리 데이터 모델이 설계되어야 함
  - 데이터 설계 표준(데이터 분류체계, 명명 규칙, DB Object 사용기준 등)을 정의하고 적용하여야 함
  - 공사 내 표준관리시스템(SMETA)을 이용하여 테이블, 컬럼 정의서를 업로드하여야 함</t>
  </si>
  <si>
    <t>○ 데이터 모델 검증 
 - 설계된 데이터 모델은 설계자 · 개발자 · 발주기관 · 전문가 등이 참여하여 검증하여야 함
 - 각 단계별 데이터 모델 검증 시 기준을 정의하고 실시하여야 함
   예) 논리데이터 모델 검증 기준
     : 요구사항 대비 논리 모델의 완전성(논리데이터 모델이 비즈니스 요구사항의 누락 여부)
     : 정규화 충족 여부
   예) 물리데이터 모델 검증 기준
     : 중복 테이블 여부, 중복 컬럼 여부, 반정규화된 중복 데이터 정합성 유지 방안 여부</t>
  </si>
  <si>
    <t>○ 데이터 구조 관리 방안 제시
  - 공사 관리 기준을 적용하여 관리방안 제시
  - 시스템 구축기간 동안 데이터 구조 관리를 위한 방안(변경이력 포함)을 제시하고 DB의 형상과 물리데이터 모델의 형상 일치 여부를 주기적으로 점검하여야 함</t>
  </si>
  <si>
    <t>○ 데이터 값 진단 계획 수립  
  - 데이터 값 검증 범위(전체 또는 일부), 시기, 방법을 사업 계획에 명시하여야 함
○ 데이터 값 진단 수행 및 검증 (공사 내 SDQ 이용)
  - 목표시스템에 추가되는 데이터의 특성을 분석하고, 대상 DB(시스템)의 구축·운영 근거(법령, 규정, 규칙, 매뉴얼 등)을 참고하여 데이터 특성에 부합하는 업무규칙(BR)을 정의하여야 함
  - 공공데이터 범정부 품질진단 기준* 및 업무규칙(BR)에 따라 값 검증을 수행하여야 함
   * 공공데이터 품질관리 매뉴얼 참고
  - 데이터 값 검증 결과에 따른 오류데이터를 개선하고, 오류로 인한 영향도, 오류유형별 조치 방법 등을 관리하여야 함
  - 반복적으로 발생하는 동일 오류가 있는 경우 재발 방지 방안을 제시하여야 함
  - 오류 데이터 입력 방지(사전검증) 방안을 제시하여야 함</t>
  </si>
  <si>
    <t>○ 운영단계까지 지속적으로 적용가능한 데이터 관리체계 정의 (공사 기준 준용)
 - 데이터 표준, 구조, 값 등 데이터 핵심 요소의 지속적인 관리를 위한 조직과 역할을 정의하여야 함
 - DB표준(단어 · 용어 · 도메인 · 코드)의 추가, 변경, 삭제 절차를 수립하여야 함
 - 데이터 구조(논리 · 물리)와 관련된 추가, 변경, 삭제 절차를 수립하여야 함
 - 관리체계에는 표준 준수율, 구조 현행화율, 값 검증 오류율 등 명확한 관리기준을 제시하여야 함
(사업범위에 연계 데이터가 없는 경우 하단의 요구사항 생략 가능)
○ 연계데이터 관리방안 제시
  - 제공기관 및 활용기관 간 연계데이터의 정합성이 유지되도록 방안을 제시하고 구축하여야 함
  - 연계데이터 목록을 정의*하고 관리 방안을 제시하여야 함
   * 연계 정보(송·수신 구분, 정보명, 주기), 연계 항목(항목명, 설명, 데이터 타입, 길이), 항목 출처(DB, 테이블, 컬럼명), 제공기관, 활용기관 등
  - 연계데이터를 제공 및 활용하는 기관 상호 간의 데이터 품질 확보를 위해 연계표준이나 기준 등을 협의하고, 정기적인 연계데이터 정합성 검증을 수행하여야 함</t>
  </si>
  <si>
    <t>○ 메타데이터 현행화 (기관메타 업로드)
 - 목표시스템의 메타데이터 표준 관리 항목이 발주기관의 메타데이터 관리시스템과 중앙 메타데이터 관리시스템에 등록 및 현행화 되도록 지원하여야 함
  ※ 발주기관에서 운영 중인 메타데이터 관리시스템이 없는 경우 문서,파일 등으로 메타데이터 항목을 작성하여 제출하여야 함 
(개방 가능 데이터가 아닌 경우 하단의 요구사항 생략 가능)
○ 개방 데이터 서비스 연속성 확보
 - 기존 시스템(DB)과 연관된 개방데이터 목록을 식별하고 본 사업으로 추가되는 데이터를 포함하여 개방될 수 있도록 지원하여야 함</t>
  </si>
  <si>
    <t>○ 사용자를 위한 내/외부 시스템별 매뉴얼이 작성되어야 한다.(동영상포함)
○ 시스템 메뉴별 세부 업무정보를 확인할 수 있는 매뉴얼 바로 확인 기능이 구현되어야 한다.
  - 매뉴얼 선택 시 업무 추진 시 검토 필요한 주요 착안 사항이 보여진다.
  - 시스템 기능, 규정 등 검토해야 할 사항이 반영되어야 한다.</t>
  </si>
  <si>
    <t>시스템 성과측정 계획서(안)</t>
    <phoneticPr fontId="4" type="noConversion"/>
  </si>
  <si>
    <t>교육계획서 및 교육결과보고서</t>
    <phoneticPr fontId="4" type="noConversion"/>
  </si>
  <si>
    <t>자재 표준체계 정의서 및 자재 기준정보 DB</t>
  </si>
  <si>
    <t>참고자료 (TO -BE모델 정의서, 건설정보시스템 RFP 등)</t>
  </si>
  <si>
    <t>공통기능 -인프라 구성 표준</t>
  </si>
  <si>
    <t>공통기능 -계정 및 권한</t>
  </si>
  <si>
    <t>공통기능 -모바일</t>
  </si>
  <si>
    <t>공통기능 -정보 조회</t>
  </si>
  <si>
    <t>○ 도면 편집(Edit) 및 설비마스터 정보 매핑(Mapping)
 - 설비마스터와 연관된 스마트 도면 제공
 - 사용자 권한에 따른 도면 편집 기능 활성화/비활성화
 - 쉽고 직관적인 도면 편집 기능
 - 우리 공사의 도면번호 관리기준 및 Tag 관리 기준, 속성정보 기준 등 준수
 - 도면을 구성하는 모든 구성요소는 기능위치, 분류체계 등 우리 공사 관리 기준을 반영한 계층형 관리 구조 지원
 - 도면을 구성하는 모든 구성요소 간 연관관계 관리 기능
 - 도면 편집 시, 버전관리/승인/편집자 등의 이력정보와 버전 관리 기능 제공
 - 도면 편집 이후, 연관 담당자의 승인 후 반영 기능(도면관리 기준(안) 제시)
 - 도면 편집 시 동시 수정 방지를 위한 '체크인/체크아웃(Check -in/out)' 또는 '편집 잠금(Locking)' 기능을 필수 제공해야 함.
 - 도면 내 설비 객체와 설비마스터 DB 간의 '양방향 동기화(Bi -directional Sync)' 또는 '무결성 검증 리포트' 기능을 제공하여 데이터 불일치를 방지해야 함</t>
  </si>
  <si>
    <t>○ 도면 조회(View)
 - 설비마스터와 연관된 도면 접근 기능
 - 사용자 권한에 따른 도면 접근 및 조회
 - 도면 조회 시, 확대(Zoom), 회전(Pan), 강조(Highlight), 선택(Selection) 등의 기능 제공
 - P&amp;ID 및 SLD 의 Tag 및 속성 정보 등의 검색 기능
 - Tag No. 기준으로 기타 도면 및 문서 등의 연계 조회 기능
 - 전산화된 모든 도면은 파일 다운로드 없이 웹 브라우저 상에서 조회
 - 도면 조회 시, 사용자 권한에 따라 편집 기능으로 전환 기능
 - 권한에 따른 담당자 노트(Remark) 생성 기능(노트 추가는 도면 버전 관리에서 제외)
 - 웹 기반 도면 뷰어 도입 시, 벡터(Vector) 방식 렌더링을 지원하여 확대 시에도 깨짐이 없어야 하며, 대용량 도면 로딩 시 타일링(Tiling) 기술 등을 통해 3초 이내 조회 성능을 보장해야 함.
○ 스마트 도면 外, 사용자가 등록한 기타 문서 보기 기능
○ Multi Window 기능 추가 (여러개의 창을 열어서 동시에 도면 확인 가능)</t>
  </si>
  <si>
    <t>○ 자재관리(열원)
 - 자재마스터 기본 속성에서 사용하는 교체주기 속성 外, 자재별 사용자 지정 교체주기/점검주기 관리 및 주기 도래 시, 알림 기능
 - 자재마스터별 정수관리/자재재고 등 관리 기능
○ 자재관리(열원 - 고온부품)
 - 고온부품별 장착/탈착/재생/비용/EOH현황 등의 관리 및 이력관리 기능
 - 고온부품 Set 구성 및 재고관리 기능
 - 고온부품별 EOH 계산 기준(기동/정지 횟수별 가중치 등) 관리 기능
 -EOH 계산 로직은 소스 코드가 아닌 '수식 관리 엔진(Rule Engine)' 형태로 구현하여, 현업 담당자가 가중치나 계산식을 직접 설정/변경할 수 있도록 유연성을 확보해야 함.
 - EOH 기반 잔여 수명 예측 및 알림 기능
○ 자재관리(열원 - 공기구)
 - 공기구 대여/반납/반납지연/검교정/불용처리/전용 등의 관리 및 이력관리 기능
 - 검교정 필요 공기구의 교정주기/교정일자/계획/결과/차기예정일 등 관리 기능
 - 공기구 중 특수 공기구(Special Tool) 관리 기능
○ 자재관리(열원 - 수출입통관관리)
 - 고온부품 등 수출입통관에 필요한 회계처리 지원(SAP 수입통관 연계 업무 : 15개, SAP 수출통관 연계 업무 : 9개)
 - 관세청 UNI -PASS 와 연계하여 통관진행상태 정보 확인 기능
 - UNI -PASS 연동 장애 시 업무 마비를 막기 위해, 통관 정보를 엑셀 업로드나 수기로 등록할 수 있는 백업(Backup) 프로세스를 반드시 구현해야 함.</t>
  </si>
  <si>
    <t>○ 자재관리(열량계)
 - 열량계 규격(유량부/연산부/냉수/중온수), 상태(신품/재제조) 등의 열량계 특성을 반영한 속성정보 관리 기능
 - 열량계 검정만료일의 잔여유효기간 알림 기능
 - 회차별 신규구매 및 재제조 수량에 대한 신청/조회/확정 기능
 - 열량계 구매/검수/입·출고 등의 업무 처리 시, 전자결재/전자계약/SAP 등 실시간 정보 연계 기능
○ '공통 - 정보 조회 기능' 요구사항의 조회 기능 외, 열량계 속성을 반영한 조회
 - 설치/가용재고/출고대기/출고/불용대기/검정만료대상/예비율 등의 상세 조회 조건 설정 기능
 - 건물명/건물번호/기계실번호/설치번호/사용자정보 등 열량계 기물정보와 종류별/연도별/고장유형 등의 이력 조회 기능</t>
  </si>
  <si>
    <t>○ 기기점검결과보고서 관리
 - 작업 중 작성하는 기기점검결과보고서 관리 기능
 - 점검 보고서 양식을 코딩 없이 현업이 직접 생성/수정할 수 있는 '전자서식 생성기(Form Generator)' 솔루션 또는 기능을 도입해야 함.
 - 기기점검결과보고서의 승인/반려 등의 처리/이력 관리 기능(알림 발송 포함)
 - 기기점검결과보고서를 활용한 공사통보서(서브오더, 기존 작업오더의 추가 작업오더) 연계 등록 기능</t>
  </si>
  <si>
    <t>○ 작업연장 관리
 - 진행 중인 작업오더의 기간 연장 관리 기능
 - 요청내용/기간/사유/계획대비변동율/근거자료 및 승인/반려 등의 처리/이력 관리 기능</t>
  </si>
  <si>
    <t>○ 공사통보서(서브오더, 기존 작업오더의 추가 작업오더) 관리
 - 작업오더 수행 중, 추가자재/외주가공/장비임차 등을 관리하는 공사통보서 관리 기능
 - 공사통보서의 종류(지입/외주/임차)/통보내용/연계 작업오더/설계내역/설계금액 등의 정보 관리 기능
 - 지입/외주/임차 등 각 항목의 수량/단가를 활용한 총금액 자동 처리 기능
 - 다수의 기기점검결과보고서 연계 기능</t>
  </si>
  <si>
    <t>검수 -지입/외주/임차</t>
  </si>
  <si>
    <t>○ 검수 관리
 - 지입·외주·임차 검수 필요 건 조회 및 검수 요청, 검수 결과 입력 기능
 - 검수요청 시, 선택한 작업오더(또는 공사통보서) 정보 연계를 통한 자동 입력 기능
 - 검수 관련 증빙문서(견적서, 세금계산서, 검수사진, 납품서 등) 첨부/다운로드 기능
 - 정비부서 반려 시, 반려 사유 그룹핑 선택 지정 및 상세 반려내용 기록 기능
 - 현장 검수 시, 모바일 기기에서 검수 정보 확인, 수량 스캔(바코드/QR), 사진 촬영·첨부, 결과입력, 반려/승인요청 기능 제공</t>
  </si>
  <si>
    <t>설계기준 -설계기준서 관리</t>
  </si>
  <si>
    <t>설계기준 -제비율표 관리</t>
  </si>
  <si>
    <t>○ 공사오더 - 제비율표 관리
 - 제비율표는 조달청/물가정보 사이트에서 공개되는 정보를 전산화(전산화 방안 제시)
 - 항목/공사종류/공사기간/공사규모 등 다차원 분류 및 코드로 관리
 - 해당 항목 선택 시, 설계에 반영 기능
 - 제경비 기준시점별 이력 관리 및 기준 선택 시, 해당 항목 일괄적용 기능
 - 비율, 소수점 자릿수, 반올림/버림 등의 규칙 설정 기능
 - 'SAP ERP와 동일한 소수점 처리 라이브러리/로직'을 적용하여 정합성 보장</t>
  </si>
  <si>
    <t>○ Red Tag 관리
 - Red Tag 조회/발행/취소/회수 관리 기능
 - Red Tag 상태/발행일시/발행설비/조작요청내용 등의 정보 관리 기능
 - 시스템 발행 및 수기 발행 등의 구분 기능
 - 시스템 발행 시, Red Tag 설계된 오더 검색 및 Red Tag 설계 내용 조회·발행·출력
 - 수기 발행 시, 작업오더/공사오더 없이 대상 설비별 관리(필요 시, 오더에 연결 가능)
 - 수기 발행 시, 대상 설비의 설비마스터 표준 Red Tag 자동 입력 및 수정 기능
 - 다수 Red Tag에 대한 일괄 발행/취소/출력 지원
 - Red Tag 발행 대상 설비에 미회수 Red Tag 존재 시 경고
 - Red Tag 출력 시, 연계된 LOTO 번호 정보 자동 인쇄 기능
 - Red Tag  바코드 스캔/입력에 의한 상세 내역 확인 및 회수처리 기능
 - 회수 예정일 임박/지연, 장기 미회수, 중복 발행 시 담당 부서에 알림 제공 기능
 - 모바일에서 발행/출력 요청, 스캔 회수, 사진 첨부 기능 지원
 - 각 지사별 Red -Tag 발행 프린터와 연계하여 출력기능 지원</t>
  </si>
  <si>
    <t>○ TM통계 관리
 - 발행/완료 TM에 대한 기간, 지사, 발행부서, 설비, 고장증상 등 조건에 따른 통계(표, 그래프 동시 제공) 기능
 - 특정 기간 동안의 TM 접수/진행/완료/미결 등 상태별 건수 및 추이, 진행상태별 비율 제공
 - 특정 기간동안의 설비유형별/설비별 TM 발행 건수 및 추이 결과 제공
 - 특정 기간동안의 고장유형별/고장원인별 TM 발행 건수 및 추이 결과 제공</t>
  </si>
  <si>
    <t>○ 로그시트 관리
 - 교대 근무조의 일상점검·운영기록을 '로그시트'로 조회/등록/수정 기능
 - 기간, 소속, 교대근무 보직 등의 조건에 대한 다중 필터 검색 기능
 - 로그시트 점검항목별 Trend(추이) 제공 기능 (기간 설정/조회 가능)
 - 점검항목별 관리기준(상하한, 경보값)에 측정값이 벗어날 경우, 적합/이상 자동 표기 기능
 - 모바일을 활용해 현장에서 값 입력 등 수행 기능</t>
  </si>
  <si>
    <t>○ 인계인수일지 관리
 - 인계인수 일지 조회/작성 및 업무인계인수 설정(순환근무, 교대근무시간, 작성보직 등) 기능
 - 인계인수 설정에 따른 일자별 인계인수 목록 자동 생성 기능
 - 인계인수 조회 시, 근무조 및 교대근무 보직에 대한 다중 검색 필터 기능
 - 점검표, 운전 기록 등 파일 및 사진에 대한 일지 단위로 첨부 기능</t>
  </si>
  <si>
    <t>○ 운전시간 관리
 - 운전시간 관리 대상 기기 조회/등록/수정 기능
 - 관리 대상 기기 등록 시, 기기 관리 교대근무보직 조회/등록/수정 기능
 - 관리 대상 기기 등록 시, 대상기기에 세부설비가 있는 경우 관련 설비 연계 등록 기능
 - 주요기기의 운전시간 입력 및 운전 통계 조회 기능
 - 운전시간 등록 시, Start/Stop(기동/정지) 시각에 대한 동일 일자 복수 입력 기능
 - 운전시간 등록 시, 동일 상태(Start → Start 또는 Stop → Stop ) 연속 입력 방지 기능</t>
  </si>
  <si>
    <t>○ 정비회의 관리
 - 정비회의 기본정보 및 안건 대상(TM, 작업오더) 관리 기능
 - 정비회의 대상 TM/작업오더 조회 및 연계 기능</t>
  </si>
  <si>
    <t>○ 지사/본사간 차년도 예산관리 (SAP 연계 불필요)
 - 차년도 필요 예산을 지사별 담당자가 지정된 기간에 주관부서(과)/종류/총금액/월별금액 등의 정보를 등록/수정하는 기능(타 지사 신청 예산 확인 가능)
 - 지사별 예산 등록 기간 종료 이후, 본사 예산 담당자에 의해 각 지사별 등록 예산의 비용 조정 등 차수(이력) 관리 기능
 - 차수(이력)는 제한없이 증가
 - 각 차수별 변경 사항의 비교 기능
 - 차수 종료 이후, 각 지사별 담당자가 최종 확정 예산 확인 기능(타 지사 확정 예산 확인 가능)
 - 당해 년도 확정 예산 운영 중, 비상·긴급 예산 편성 필요 시 각 지사별 담당자가 긴급 예산 신청 기능
 - 각 항목별 확정 예산의 실적 관리 기능(작업/공사에서 사용 예산으로 필수 선택)
 - 본사 예산 담당자의 각 지사별 비상·긴급 예산 신청 내용 조회 기능</t>
  </si>
  <si>
    <t>공통 -결재</t>
  </si>
  <si>
    <t>공통 -공람</t>
  </si>
  <si>
    <t>공통 -첨부</t>
  </si>
  <si>
    <t>건설정보시스템 메인화면 -대시보드</t>
  </si>
  <si>
    <t>건설정보시스템 메인화면 -상단메뉴</t>
  </si>
  <si>
    <t>○ 대시보드는 [프로젝트명, 요청업무, DELAY, 통합검색]으로 구성
○ 프로젝트명은 [진행 프로젝트, 당해년도 완료 프로젝트]로 구성
 - 진행 프로젝트는 아직 완료되지 않은 프로젝트들이며, 진행 프로젝트가 완료 처리되면 완료 프로젝트 목록에 해당 프로젝트가 나열
 - 각 프로젝트 리스트는 건설지사 단위의 트리구조로 구성되며, 건설지사 클릭 시 해당 지사 하위 프로젝트가 나열되는 직관적인 리스트로 구성
 - 프로젝트 리스트 트리구조는 원하는 구성으로 수정가능
 - 특정 프로젝트 선택 시 해당 프로젝트의 메인화면 팝업으로 이동
 - 건설공사(명칭 : 기본설계용역, 실시설계용역, 주기기구매, 건설공사) / 사급자재 구매 ZONE 으로 분류하며, 상하로 분리 
○ 요청업무는 [오늘 할일, 결재완료]로 구성
 - 오늘 할일 : 검토중인 문서로, 결재완료하기 전까지 남아있으며, DELAY는 카운팅 되는 구조
 - 결재완료 : 결재완료 처리된 문서, 다른분야 처리사항도 체크가능함 
 - 각 요청업무는 [문서송부전/처리전, SUBMITTAL 의뢰서/의견서, 업무지시전/업무처리전]으로 구성
 - 문서번호는 우리공사 건설업무지침서 준용(분야별, 기자재별 번호 별도 부여)
 - 계약명, 제목, 공통된 내용, 작성일, 문서번호 등이 리스트로 구성되며, 해당 건 클릭 시 팝업으로 업무 처리
○ DELAY 는 오늘할일 옆 숫자로 구성되며, 색깔로 위험을 구분
   (예시 : D -5 보라, D -3 파랑, D -2 녹색, D -1 노랑, D -DAY 주황, D+1 빨강)
○ 통합검색
 - 제목, 내용, 첨부파일명, 첨부파일내용, 상세검색, 논리검색 등 모든 정보의 검색
 - 성과물 처리 현황 검색
 - 성과물 변경 이력 내역 검색
 - 모든 조회 화면의 개별 필드 확장/정렬 기능
 - 부여된 권한에 따라 본인 프로젝트 외 진행중인 타프로젝트의 건설자료 조회 기능</t>
  </si>
  <si>
    <t>프로젝트 메인화면 -대시보드</t>
  </si>
  <si>
    <t>○ 프로젝트 정보는 프로젝트 기본정보(계약사항 등), 프로젝트 진행상태 등 프로젝트 관련 정보 표시
○ 요청업무는 해당 프로젝트에 대한 [오늘 할일, 결재완료]로 구성
 - 요청업무 알림을 개인 환경설정에 따라 수신
 - 요청한 일에 대한 진행 상태를 체크
 - 요청받은 문서를 재배포·공람
 - 요청받은 문서에 대한 의견의 취합
 - 재전송(Revision) 문서를 목록에 표시
 - 완료된 요청 건은 별도로 관리하여 조회
○ DELAY은 해당 프로젝트 도면검토 사항에 대한 숫자 지연으로 표기
 - 마감임박( -3일~ -1일), 지연(+1일이후~) 건에 대한 알람 설정으로 표기</t>
  </si>
  <si>
    <t>프로젝트 메인화면 -좌측메뉴</t>
  </si>
  <si>
    <t>○ 메뉴는 [프로젝트 정보, 협업, 품질관리]로 구성
○ 메뉴는 트리구조 메뉴가 직관적으로 나열
○ 프로젝트 정보는 [개요, 조직도]으로 구성
○ 협업은 [문서송부전/처리전, SUBMITTAL 의뢰서/의견서, 업무지시전/업무처리전]으로 구성
○ 품질관리는 [입회신청서, 입회결과서]으로 구성 
 - 조직도는 해당 프로젝트 관련 인력POOL이 트리구조로 표시하며,
 - (참조용, 승인용, 건설용) 건설처 모든 직원이 검색 가능토록 하되, 프로젝트 지정한것만 검토의견 달수 있음
 - (준공용 -PIMS 이관) 모든 직원이 볼 수 있으며, 이력관리에 대해서는 건설처 직원만 볼 수 있음</t>
  </si>
  <si>
    <t>○ 프로젝트 정보는 [조직도]으로 구성
 - 개요는 해당 프로젝트의 코드 등 표시
 - 조직도는 해당 프로젝트 관련 인력들이 트리구조로 표시</t>
  </si>
  <si>
    <t>협업 -문서송부전</t>
  </si>
  <si>
    <t>협업 -문서처리전</t>
  </si>
  <si>
    <t>○ 문서처리전 작성(공사)
 - 접수 승인된 문서송부전에 대해 문서처리전의 작성 기능
 - 문서처리전 등록 시 문서번호는 분야에 따라 자동생성 기능
 - 선택한 DCL 검토결과의 일괄 입력 또는DCL별 검토결과 입력 기능
 - 검토결과는 승인, 미승인, 조건부 승인( -&gt;수정요청) 등으로 구분하고 검토의견 작성 기능
 - 주관 프로젝트 담당자는 배포된 DCL에 대한 각 팀의 검토 의견 취합 기능
 - 설계 용역사에게 배포 시 설계 용역사의 검토 의견을 검토결과에 포함 기능 
 - 문서처리전 작성 시 취합된 각 분야(기계, 전기, 제어 등)의 검토의견(승인, 미승인, 조건부 승인( -&gt;수정요청) 등)이 자동 입력 및 수정 기능 
 - 검토의견 작성 시 파일의 개별/일괄 첨부 기능
 - 문서처리전 작성 시 문서송부전의 접수내용의 자동 등록 및 수정 기능
 - 임시저장 및 임시저장 문서함에서 재작성 기능
○ 문서처리전 승인(공사)
 - 검토의견 작성을 완료하고 승인자에게 승인요청 기능
 - DCL 문서처리전을 저장하고 DCL 첨부목록에서 조회 기능
 - 승인자가 DCL 첨부파일 목록의 보기 버튼을 클릭하여 DCL 검토의견 확인 기능
 - 기안자 및 결재권자는 DCL 문서처리전을 승인, 워크플로우 이력조회, 반려처리 기능
 - 최종 승인자에 PM이 자동 입력되고, 변경지정 기능
 - 결재 완료 후 건설사의 프로젝트 폴더로 송부 기능</t>
  </si>
  <si>
    <t>협업 -Submittal 검토의뢰서</t>
  </si>
  <si>
    <t>○ Submittal 검토의뢰서 작성 및 완료(협력사)
 - Submittal 검토의뢰서를 주관부서별(기계, 전기, 제어, 토건, 품질 등) 프로젝트 폴더에 선택하여 등록
 - Submittal 검토의뢰서 등록 시 일련번호 입력 기능
 - DCL 승인 주관 프로젝트 폴더 선택 입력 기능
 - 발신처, 수신처, 참조, 등록일자, 내용 입력 기능
 - Submittal 검토의뢰서 등록 시 DCL이 다른 문서에서 진행중인 경우 해당 정보 제공 기능
 - Submittal 검토의뢰서에 DCL 추가 및 동시 선택 기능
 - Submittal 검토의뢰서가 저장되고 DCL 승인 주관 프로젝트 폴더로 전송 기능
 - 반려된 Submittal 검토의뢰서는 수정 후 재전송 기능
 - 미승인, 조건부 승인된 Submittal 검토의견서는 수정 후 재전송 기능(Revision)
 - 임시저장 및 임시저장 문서함에서 재작성 기능
○ Submittal 검토의뢰서 접수(공사)
 - 접수 승인 시 검토자에 PM이 자동 입력되고, 변경지정 기능
 - 설정된 배포처가 자동 선택되고 필요시 추가/제거 기능
 - 설계 용역사에게 배포가 필요한 경우 배포 기능
 - 승인처리, 이력조회, 반려 기능
 - 반려 시 작성자에게 반려 처리 기능</t>
  </si>
  <si>
    <t>건설정보시스템 재구축 용역 SFR -010</t>
  </si>
  <si>
    <t>협업 -Submittal 검토의견서</t>
  </si>
  <si>
    <t>○ Submittal 검토의견서 작성(공사)
 - 접수 승인 완료된 Submittal 검토의뢰서에 대해 Submittal 검토의견서 작성 기능
 - Submittal 검토의견서 등록 시 문서번호는 분야에 따라 자동생성 기능
 - 선택한 DCL에 대한 검토결과를 일괄 입력 또는 DCL별로 검토결과 입력 기능
 - 검토결과는 승인, 미승인, 조건부 승인 등 구분 및 검토의견 작성 기능
 - 주관 프로젝트 담당자는 배포된 DCL에 대한 각 팀의 검토 의견 취합 기능
 - 설계 용역사에게 배포 시 설계 용역사 검토 의견의 검토결과에 포함 기능
 - 검토의견서 작성 시 취합된 각 팀의 검토의견(승인, 미승인, 조건부 승인등)이 자동 입력 및 수정 기능 
 - 검토의견 작성 시 파일을 개별/일괄 첨부 기능
 - 검토의견서 작성 시 검토의뢰서 접수내용이 자동 등록 및 수정 기능
 - 임시저장 및 임시저장 문서함에서 재작성 기능
○ Submittal 검토의견서 승인(공사)
 - 검토의견 작성을 완료하고 승인자에게 승인요청 기능
 - DCL 검토의견서를 저장하고 DCL 첨부목록에서 조회 기능
 - 승인자가 DCL 첨부파일 목록의 보기버튼을 클릭하여 DCL 검토의견 확인 기능
 - 기안자 및 결재권자는 DCL 검토의견서를 승인, 워크플로우 이력조회, 반려처리 기능
 - 최종 승인자에 PM이 자동 입력되고, 변경지정 기능
 - 결재 완료 후 건설사의 프로젝트 폴더로 송부 기능</t>
  </si>
  <si>
    <t>협업 -업무지시전</t>
  </si>
  <si>
    <t>○ 업무지시전 작성(공사)
 - 주관부서별(기계, 전기, 제어, 토목, 건축 등) 프로젝트 담당자 등록 기능
 - 프로젝트 폴더에 있는 문서 및 개인 PC에 있는 문서 첨부 기능
 - 등록 시 분야별로 일련번호 자동 입력 기능
 - 임시저장 및 임시저장문서함에서 재작성 기능
○ 업무지시전 승인(공사)
 - 기안자 및 결재권자의 업무지시전을 승인, 워크플로우 이력조회, 반려처리 기능
 - 중간 및 최종 결재권자의 내용수정 및 파일추가 등록 기능
○ 업무지시전 접수(협력사 -건설사 또는 설계사)
 - 업무지시전의 승인, 워크플로우 이력조회, 반려처리 기능</t>
  </si>
  <si>
    <t>건설정보시스템 재구축 용역 SFR -011</t>
  </si>
  <si>
    <t>협업 -업무처리전</t>
  </si>
  <si>
    <t>○ 업무처리전 작성(협력사 -건설사 또는 설계사)
 - 업무처리전은 주관부서별(기계, 전기, 제어, 토목, 건축 등) 프로젝트 폴더에 선택하여 등록
 - 업무처리전 등록 시 일련번호 입력 기능
 - 주관 프로젝트 폴더 선택 입력 기능
 - 발신처, 수신처, 참조, 등록일자, 내용 입력 기능
 - 업무처리전 등록 시 DCL이 다른 문서에서 진행중인 경우 해당 정보 제공 기능
 - 업무처리전에 DCL 추가 및 동시 선택 기능
 - 업무처리전에 저장되고, DCL 승인 주관 프로젝트 폴더로 전송 기능
 - 반려, 수정 요청된 업무처리전은 수정 후 재전송 기능
 - 임시저장 및 임시저장 문서함에서 재작성 기능
 - PC에 있는 문서 첨부 기능
 - 업무처리전 등록 시 문서번호 중복체크 기능
○ 업무처리전 접수(공사)
 - 접수 승인 시 검토자에 PM이 자동 입력되고, 변경지정 기능
 - 설정된 배포처가 자동 선택되고 필요시 추가/제거 기능
 - 협력사(건설사 또는 설계사)에게 배포가 필요한 경우 배포 기능
 - 승인처리, 이력조회, 반려 기능
 - 반려 시 작성자에게 반려 처리 기능
○ 업무처리전 승인(공사)
 - 접수 승인 시 검토자에 PM이 자동 입력 및 변경지정 기능
 - 설정된 배포처가 자동 선택되고 필요시 추가/제거 기능
 - 승인처리, 이력조회, 반려 기능
 - 반려 시 작성자에게 반려 처리 기능</t>
  </si>
  <si>
    <t>협업 -현황</t>
  </si>
  <si>
    <t>건설정보시스템 재구축 용역 SFR -012</t>
  </si>
  <si>
    <t>사업관리 -DCL Setup</t>
  </si>
  <si>
    <t>건설정보시스템 재구축 용역 SFR -013</t>
  </si>
  <si>
    <t>사업관리 -DCL</t>
  </si>
  <si>
    <t>○ DCL(EDCL, VDCL) 조건검색 및 현황 관리
 - 지연 및 지연 임박 DCL은 다른색으로 표시 기능
 - DCL 성과물 파일을 개별첨부/일괄첨부 기능
○ 선택한 DCL 업무
 - Revision별 이력조회
 - Revision별 성과물 파일 목록 조회
 - Revision별 검토 이력 조회
 - Revision별 검토 의견 상세 조회
 - DCL Revision 생성
 - DCL 제출일, 수발신 문서번호 입력
 - DCL 회신결과 입력</t>
  </si>
  <si>
    <t>건설정보시스템 재구축 용역 SFR -014</t>
  </si>
  <si>
    <t>사업관리 -DCL Delay List</t>
  </si>
  <si>
    <t>건설정보시스템 재구축 용역 SFR -015</t>
  </si>
  <si>
    <t>사업관리 -현황</t>
  </si>
  <si>
    <t>건설정보시스템 재구축 용역 SFR -016</t>
  </si>
  <si>
    <t>기자재 입회신청서 목록 조회/등록/승인
(품질관리 -건설용)</t>
  </si>
  <si>
    <t>○ 입회신청서 조회
 - 계약명, 계약상대자, 제작자, 검사품목, 품질관리책임자 등의 조건으로 조회
○ 입회신청서 등록
 - 기자재 입회신청서 조회/작성 기능
 - 입회신청서 작성 시 계약상대자, 계약명, 제작자, 검사품목, 품질관리책임자 입력 기능
 - 임시저장 및 임시저장문서함에서 재작성 기능
 - 결재 시 등록되며 품질담당에게 결재요청 기능
○ 입회신청서 승인
 - 등록된 입회신청서를 조회/출력 기능
 - 입회신청서 진행 이력 확인 기능
 - 검사구분을 선택 기능 (자체/용역, 동영상/실시간원격검사/관계없음)
 - 품질담당은 요청받은 입회신청서의 조회/승인/반려 기능
○ 자체/용역/실시간원격 검사(적합)
 - 품질담당이 수행한 검사 결과를 입회신청서에 작성 기능
 - 입회결과서 등록 시 파일 첨부 기능
 - 결재 요청 시 품질팀장에게 결재요청 기능
○ 자체/용역/실시간원격 검사(부적합)
 - 부적합 결과보고서를 입회신청서에 작성 기능
 - 재검사 입회신청서 등록 시 부적합 결과보고서가 연동되어 검사자 확인 기능
 - 부적합 지적사항의 조치 여부를 확인 할 수 있게 최종검사보고서 상단에 "부적합 발생" 件 표시 필요 → 부적합 보고서와 최종보고서 연동
○ 입회결과 승인
 - 접수된 입회신청서를 조회하여 결과의 검토 및 승인 기능</t>
  </si>
  <si>
    <t>건설정보시스템 재구축 용역 SFR -017</t>
  </si>
  <si>
    <t>품질실적관리 -현황</t>
  </si>
  <si>
    <t>입회신청서 검사결과 현황 조회/출력
(품질관리 -건설용)</t>
  </si>
  <si>
    <t xml:space="preserve">○ 전체/분류, 계약명, 현황분석기간에 따른 입회 신청서 조회
 - 사업별 검사 실적 현황, 부적합 원인별 검사 현황, 기기별 검사 현황, 업체별 검사 현황, 검사주체별 검사 현황 등
○ 출력 내용
 - 검사결과 현황 분석 보고서
 - 사업별 검사 실적 현황
 - 부적합 원인별 검사 현황
 - 기기별 검사 현황
 - 업체별 검사 현황
 - 검사주체별 검사 현황
○ PDF, Excel, Word 등으로 저장 기능
○ 페이지 이동, 확대, 텍스트 검색 기능
○ 기존 DB (PDF 로 등록 및 다운로드 가능) - &gt; 품질관리(유지보수용)에서 받을 수 있다 </t>
  </si>
  <si>
    <t>건설정보시스템 재구축 용역 SFR -018</t>
  </si>
  <si>
    <t xml:space="preserve">○ 프로젝트 폴더는 표준 분류체계 내용 대로 프로젝트 마다 동일한 구조로 생성되고, 시스템관리자 → 프로젝트 설정에서 변경 기능
○ 조회
 - 선택한 폴더 내의 문서가 화면에 출력되고, 문서번호, 제목, 유형, 개정번호, 크기, 형식, 수정날짜를 클릭하면 각 항목별 정렬 기능
 - 폴더 내의 문서는 조건검색 기능
 - 페이지 이동버튼 제공 (이전/다음/처음/마지막/특정)
○ 등록
 - 파일 추가/삭제 등 기능
 - 파일의 버전관리
 - 등록하는 문서의 종류 선택 기능(사업관리/설계/Vender Print 공급자 등)
○ 상세검색
 - 문서의 등록정보 확인 기능
 - 상세검색 기능
○ Export
 - 단일문서/다중문서를 선택하여 다운로드 기능
 - 선택한 문서 속성의 Export 기능
○ 접근권한 변경
 - 사용자별, 그룹별로 접근권한의 확인 기능
 - 사용자/그룹 단위로 접근권한 추가/수정/삭제 기능
○ 문서 관리
 - 등록된 의견 관리 기능
 - 분야별 담당자 교체 및 할당된 문서가 남아있는지 확인 기능
 - 담당자 변경 시 기존 검토중인 문서의 자동 이관 기능
 - 설계사의 권한부여를 통한 도서 검토 기능
○ 준공 전 템플릿 Export/Import를 통해 설비정보(설비마스터)를 입력하고, 프로젝트 완료 시 플랜트관리시스템(PIMS)에 자동으로 설비정보 연계 </t>
  </si>
  <si>
    <t>건설정보시스템 재구축 용역 SFR -019</t>
  </si>
  <si>
    <t>건설정보시스템 재구축 용역 SFR -020</t>
  </si>
  <si>
    <t>건설정보시스템 재구축 용역 SFR -023</t>
  </si>
  <si>
    <t>건설정보시스템 재구축 용역 SFR -024</t>
  </si>
  <si>
    <t>건설정보시스템 재구축 용역 SFR -025</t>
  </si>
  <si>
    <t>공통기능 - 매뉴얼관리</t>
  </si>
  <si>
    <t>공통기능 -외부 접근 제한</t>
  </si>
  <si>
    <t xml:space="preserve">○ DB 명세서 제공
 - 논리/물리 데이터모델 및 테이블 Relationship(ERD)
 - 테이블 및 컬럼, 프로시져 등에 대한 설명
※ DB 명세서 제공 불가시, 상용 솔루션 커스터마이징 내역 제시 필요
○ 상용 솔루션의 경우, DB 커스터마이징 가능 범위 및 방안
○ 기존 시스템 데이터를 분석하여 신규 시스템의 관리 체계에 맞게 마이그레이션
 - 마이그레이션 시, 지사별 중복 데이터 및 미사용 데이터 처리 방안 제시
○ 이관 데이터의 AI 학습 가용성 검증
 - 이관되는 텍스트 데이터(이력, 조치내용 등)의 결측치, 특수문자 오류 등을 사전 정제하여 향후 LLM 학습 시 노이즈를 최소화해야 함
 - 데이터 간 관계(Relation)를 명확히 하여 AI가 문맥을 파악할 수 있는 구조로 이관해야 함 </t>
  </si>
  <si>
    <t>○ 정보응답시간 개선
 - 모든 기능은 요청하는 시간으로 부터 3,000ms 내에 결과를 보여주도록 구현
 - 대용량의 데이터 요청 시 진행상태 및 메시지 표시</t>
  </si>
  <si>
    <t>○ 데이터 오류 응답시간
 - 사용자 입력 데이터의 형식 오류 등 모든 오류에 대해 사용자가 시스템에 정보를 입력한 시간으로부터 2,000ms 이내에 적절한 오류 메시지 제공</t>
  </si>
  <si>
    <t>○ 동시 사용자 접속
 - 우리 공사 19개 지사 담당자들의 시스템 사용 시 성능 보장
 - 시스템 구축 이후 사용자 수 증가에 따른 과도한 추가 비용 발생 또는 라이선스 추가 등의 사항은 없도록 구성되어야 함</t>
  </si>
  <si>
    <t>○ 시스템 부하 최적화
 - 조회/통계/분석 등의 작업 시 시스템 부하 최소화 및 최적 분배 설계 구현</t>
  </si>
  <si>
    <t>○ 형상 및 산출물 관리
 - 시스템 형상관리계획을 수립하고 적용해야 함
 - 프로그램 분배, 테스트, 확인 과정 등을 포함하는 분배관리 절차 및 운영 방안 제시
 - 분배로 인한 장애 발생 시, 분배 전의 상태로의 신속한 복구 방안 및 절차, 운영 방안 등을 제시
 - 버전 변경 시, 시스템의 신뢰성 및 연속성 확보 보장
 - 형상관리시스템을 통한 접근제어 및 이력관리</t>
  </si>
  <si>
    <t>○ 시스템 무중단 운영
 - 시스템은 주 7일, 일일 24시간 무중단 서비스를 제공해야 함
 - 시스템 일부 장애로 전체 서비스 중단 영향 방지  
 - 서비스 무중단을 보장하는 이중화 구성 제안</t>
  </si>
  <si>
    <t>○ 본 사업의 단위테스트, 통합테스트 등에 대한 테스트 방안(요구사항별 적합, 부적합 판정) 제시
○ 품질 요건을 충족하는 테스트 방안을 제시해야 함
○ 테스트 방안은 다음과 같은 세부적인 사항을 포함하여야 함
 - 발생 가능한 시나리오 기반 테스트 데이터(오류 데이터 포함) 입력
 - 단위테스트는 개발자 본인 및 동료테스트 실시
 - 통합테스트는 시연과 함께 진행되도록 지원
 - 테스트 수행 결과를 기록하여 발주자에게 제출하여야 함</t>
  </si>
  <si>
    <t>○ 수행사는 계약일로부터 공사 지정 기한 이내 다음 사항을 포함하여 착수계 제출
 - 사업수행책임자(PM) 선임관련 서류(재직증명서, 이력서 등)
 - 법인 사용인감계
 - 인력투입계획 및 증빙사항(투입인력 명단, 경력 확인(재직증명서, 이력서 등) 서류
 - 예정공정표 등 용역 수행 계획서 검토용
 - 보안관련 서류(보안각서, 보안서약서, 정보보호 서약서 등)
 - 청렴서약서
 - 기타 공사에서 요구하는 사항
○ 수행사는 계약일로부터 공사 지정 기한 이내 다음 사항을 포함하여 과업수행계획서 제출
 - 사업범위, 수행조직 및 세부 업무분장
 - 과업내용, 과업수행계획/절차 및 공정관리계획
 - 성과물 제출계획을 포함한 사업수행 예정공정표 (WBS)
 - 공정별 인력 투입계획 (인적사항, 업무내용, 참여기간 등)
 - 참여인력 및 지원조직(본사, 외부 등) 비상연락체계
 - 보안대책 및 위험관리, 단계별 성과물 제출계획
 - 품질보증 및 기타 공사가 요구하는 사항</t>
  </si>
  <si>
    <t>○ 교육 및 기술지원
 - 사업관련 기술 습득을 위한 각 직무별 체계적인 교육 및 기술지원 계획 수립
 - 업무 프로세스 변화에 대한 대상 부서별 교육, 설명회, 워크샵 등을 시행
 - 수행사는 공사와 협의한 교육훈련 계획에 따라 체계적이고 실질적인 교육훈련을 시행
 - 교육은 내용에 따라 유지보수업무 담당자와 사용자를 나누어 실시하며, 세부 일정 및 내용은 공사와 협의하여 결정
 - 공사는 사업 추진에 필요하다고 판단되는 기타 설명회, 교육을 요구할 수 있으며 이에 응해야 함</t>
  </si>
  <si>
    <t>○ AI 학습 및 맥락화를 위한 우리 공사 現 설비 표준체계(기준) 수립
 - 기능위치 표준화
 - 설비 분류체계 수립
 - 설비 BOM 수립
 - 설비 속성체계 수립
 - 기능위치/설비 식별체계(품목코드 채번 체계) 수립
 - 기능위치/설비 표기체계(명명규칙, 단위, 약어 등) 수립
 - 고장코드 및 예방점검 표준화 
 - 건설업무지침서에 맞게 DCL 표준화
○ AI 학습 및 맥락화를 위한 우리 공사 19개 지사 O/H 대상 열원설비 기준정보(데이터)표준체계에 맞춰 현장조사 및 DB화
 - 현장조사 : 문서, 도면, 준공도서, 사진촬영 등 데이터 수집</t>
  </si>
  <si>
    <t>○ 기능위치마스터 관리
 - 계층(Hierarchy)형 구조의 기능 위치 관리 및 표시 기능
 - 기능위치 등록/수정 등 이력 관리 기능
 - 각 기능위치별 명칭, 코드, 속성, 설명 등의 관리 기능
 - 각 수준(Level)에 설비마스터 등록(배치)/수정 등 관리 기능
 - 기능위치마스터 중복 등록 방지 및 오류 방지 기능(AI 기술 활용 등 제안사 특화 기능 제시)
 - 설비마스터 등록(배치)/수정/삭제 이력 관리 기능
(CNR-002) - 19개 지사 공통 기능위치 및 개별 기능위치를 포함하는 기능위치 표준화 방안 제시</t>
    <phoneticPr fontId="4" type="noConversion"/>
  </si>
  <si>
    <t>○ 자재마스터 관리
 - 자재마스터 관리 대상 : 열원/열수송/열량계
 - 자재마스터 등록/수정/조회 기능(기본정보, 기술정보, 자산정보, 상세정보, 속성정보 등)
 - 자재마스터 등록/수정 등 이력 관리 기능
 - 재고자산이 존재하지 않는 자재마스터의 미사용 처리 기능
 - 자재마스터 정보는 SAP 자재마스터에 실시간 정보 연계
 - SAP 자재마스터의 관리 항목 外, 별도 항목 관리 기능
 - 자재마스터 필수 속성정보의 입력 누락/오기입 방지 유효성 검증 기능
 - 자재마스터 중복 등록 방지 기능(AI 기술 활용 등 제안사 특화 기능 제시)
 - 자재 중복 방지를 위한 AI 기술 적용 시, 단순히 이름만 비교하는 것이 아니라 속성(Spec) 값의 유사도까지 비교하는 알고리즘을 제안해야 함.
 - 다수의 자재마스터와 구성 수량을 관리하는 자재 패키지/세트 기능
 - 자재마스터와 연관된 설비마스터/작업이력/공사이력 등의 조회 기능
(CNR-003) 자재마스터 분류체계, 관리 속성정보, 코드체계, 식별체계, 표기표준, 단위표준 등의 표준화 및 DB화</t>
  </si>
  <si>
    <t>○ 자재관리(공통)
 - 자재·공기구 구매요청/재고/전용/환입/불용 등의 처리 기능
 - 자재관리 기능은 SAP 와 실시간 정보 연계(SAP 관리 영역 外 정보는 연계 제외)
 - 필요 시 전자계약 및 전자결재 등과의 실시간 정보 연계
 - SAP 자산관리번호(이하, 자산번호)를 활용한 개별자재 관리 기능(1자재 1태그)
 - 개별자재 대상 : 예비품, 저장품, 수리부분품, 비저장품, 보수소모품
 - 지사 -자재마스터 -자산번호 -구매번호 -개별자재 등의 연관 정보를 관리
 - 소속지사 外, 타지사 자재 조회 기능
 - 지사 창고별 자재재고/가용재고/안전재고 수량 조회 기능
 - 사용자 지정 자재별 재주문 필요 시점 설정 관리 및 알림 기능
 - 개별자재를 위한 QR 코드 발행·출력 기능(QR 코드에는 시스템 식별자만 인코딩)
 - 개별자재 QR 코드 발행 대상 : 열원/열량계
 - 검토사항 : 정확한 자재의 수량 및 범위 확정 필요
 - QR 코드 출력 이력 관리 기능
 - QR 코드 프린터(19ea, 19개 지사 창고 비치) 및 QR 코드 출력용지(지사별 자재 10,000개 대상) 납품 포함
(QR 프린터) - Thermal Transfer(열전사) 방식 지원, 해상도 300dpi 이상, 최대 인쇄폭 104mm 이상, 인쇄속도 150mm/s 이상, USB 및 Ethernet 인터페이스 제공, 라벨인쇄를 위한 Gap 및 Black Mark 센서 지원, 표준 프린팅 언어(ZPL/EPL/TSPL 중 1개 이상) 또는 동급의 외부 연동 인터페이스를 제공, 리본 왁스레진/레진 등급 사용 가능, 합성지(PP/PET) 라벨 인쇄 지원)
 - QR 코드는 프린터와 모바일 장비를 OTG(On -The -Go)로 연결하여 출력
※ 공사 보안규정상 건물 내  WIFI 연결이 불가.
 - 모바일 장비에서 재물조사 대상 자재조회 후, QR 코드 인식으로 재물조사 처리 기능(다수·동일 자재의 경우 수량으로 일괄처리)
 - 모바일 앱에서 QR 코드 인식 시, 자재 상세정보 제공 기능
(CNR-003) - 개별자재에 QR 코드 출력 및 부착 용역 포함(부착 불가 시, 고리형 부착 등의 방법 제시)
(CNR-003) - 재고자재 실물 현장/현황 조사 및 DB화 용역 포함</t>
  </si>
  <si>
    <t>○ 자재 입·출고(공통)
 - 자재 검수/입고/출고예약/출고 관리 기능(모바일 장비 및 자재 QR 코드 활용 지원, SAP 실시간 연계)
 - 다수의 자재 입·출고 시, 일괄처리 기능
 - 자재 입·출고 내역 수정 기능(재고 수량 원상복구)
 - 입출고 내역 수정(취소)은 '결재 승인'을 통해서만 가능하도록 하고, 수정 사유와 수정 전/후 데이터를 감사 로그(Audit Log)로 영구 보관해야 함.
 - 창고 및 보관위치 관리 기능
(CNR-003) - 창고 및 보관위치 QR 코드 발행 및 부착 용역 포함</t>
  </si>
  <si>
    <t>건설정보시스템 재구축 용역 SFR-001</t>
  </si>
  <si>
    <t>○ 설비 BOM 관리
 - 설비를 구성하는 설비 BOM(자재마스터/자재패키지 및 구성 수량) 등록/수정/삭제 기능 및 이력관리 기능
 - 설비 BOM 생성 시, 동일 설비마스터 또는 유사 설비마스터의 설비 BOM 복제 기능
(CNR-002) - O/H(정기점검보수공사) 대상 설비마스터의 설비 BOM 구성, DB화 방안 제시 및 수행 용역 포함</t>
    <phoneticPr fontId="4" type="noConversion"/>
  </si>
  <si>
    <t>매뉴얼(사용자/운영자)</t>
    <phoneticPr fontId="4" type="noConversion"/>
  </si>
  <si>
    <t>보안서약서,
보안교육 결과보고서,
자료관리 대장,
반출입 관리대장</t>
    <phoneticPr fontId="4" type="noConversion"/>
  </si>
  <si>
    <t>보안확약서</t>
    <phoneticPr fontId="4" type="noConversion"/>
  </si>
  <si>
    <r>
      <t>○ 수행사는 계약체결일로부터 사업완료일까지 다음과 같이 대면 보고를 해야 함
 - 착수 보고 : 착수 후 1개월 이내
 - 주간 보고 : 매주 사업 구성원의 업무 수행상황 등
 - 월간 보고 : 당월의 업무 추진상황 및 항후 추진일정 등
 - 중간 보고 : 사업 수행 중 일정 시점의 수행 내용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결과 점검 등 
 - 완료 보고 : 사업 종료 시 전체 추진단계의 수행결과
 - 수시 보고 : 긴급 변경사항 및 서면요구에 의해 지정된 내용
○ 보고서, 보고회의 세부 방법과 일정은 상호 협의하여 조정할 수 있음</t>
    </r>
    <phoneticPr fontId="4" type="noConversion"/>
  </si>
  <si>
    <t>산출정보</t>
  </si>
  <si>
    <t>매뉴얼(사용자/운영자)</t>
  </si>
  <si>
    <t>시스템 성과측정 계획서(안)</t>
  </si>
  <si>
    <t>보안서약서,
보안교육 결과보고서,
자료관리 대장,
반출입 관리대장</t>
  </si>
  <si>
    <t>보안확약서</t>
  </si>
  <si>
    <t xml:space="preserve"> 표준용어 정의서, 표준단어 정의서, 표준도메인 정의서, 표준코드 정의서
 (SMETA 업로드 후 산출물 다운로드하여 제출)</t>
  </si>
  <si>
    <t>단위/통합테스트 계획서</t>
  </si>
  <si>
    <t>단위/통합테스트 결과서</t>
  </si>
  <si>
    <t>주간/월간 보고서, 중간·최종 보고서 등 회의록</t>
  </si>
  <si>
    <t>교육계획서 및 교육결과보고서</t>
  </si>
  <si>
    <t>설비 표준체계 정의서 및 설비 기준정보 DB</t>
  </si>
  <si>
    <t xml:space="preserve">기존 시스템 단계적 폐기 계획서 </t>
  </si>
  <si>
    <t>자원현황 보고서</t>
  </si>
  <si>
    <t>정보화사업 현황보고서</t>
    <phoneticPr fontId="4" type="noConversion"/>
  </si>
  <si>
    <t>인터페이스 정의서</t>
    <phoneticPr fontId="4" type="noConversion"/>
  </si>
  <si>
    <t>요구사항 정의서, 
요구사항 추적표</t>
    <phoneticPr fontId="4" type="noConversion"/>
  </si>
  <si>
    <t>표준체계 표준화 방법론 정의서,
To-be 프로세스 정의서</t>
    <phoneticPr fontId="4" type="noConversion"/>
  </si>
  <si>
    <t>○ 품질관리 일반요건
 - 시스템의 안정성과 신뢰성 확보, 장애시간의 최소화를 위해 기본적인 장애진단, 장애복구, 장애대책 기능을 제공하여야 함
 - 물리적/논리적 장애복구, 유지관리지원 서비스 체계를 구축하여야 함</t>
    <phoneticPr fontId="4" type="noConversion"/>
  </si>
  <si>
    <t>○ 품질관리
 - 계약상대자는 계약상 규정된 바에 따라 우리 공사에 제공 또는우리 공사에 의해 이용된 지적재산권(특허, 저작권 등)이나 공정 등이 제3자의 지적재산권을 침해하지 않을 것을 보증해야 함
 - 수행사, 사업자 또는 하도급자가 제3자의 지적재산권을 침해하였거나, 침해하였다는 주장에 의해 우리 공사 또는 사업자를 상대로 제기된 소송, 기타의 분쟁, 클레임 등에 대해 계약상대자의 책임과 비용으로 대응하여야 함
 - 계약상대자는 과업 수행과정에서 사용한 각종 기준 및 요건을 기술하고 근거자료를 제시하여 과업 성과물을 작성, 개정, 발행
 - 품질보증을 위한 품질관리 조직, 품질보증의 범위, 점검 절차 방법 등이 포함된 품질보증계획 수립 및 품질관리 계획서(과업수행계획서에 포함) 제출
 - 사업자는 별도 품질관리 담당을 지정해야 함
 - 품질관리 담당 조직의 품질보증 활동계획 및 형상관리 계획 제시
 - 정기적인 품질관리 활동을 수행하여야 함
 - 일정지연, 품질저하에 따르는 예산초과 등 리스크 발생에 대한 사전 예방 및 발생 시 대처방안 제시</t>
    <phoneticPr fontId="4" type="noConversion"/>
  </si>
  <si>
    <t>품질관리 계획서
(데이터 품질진단계획서)</t>
    <phoneticPr fontId="4" type="noConversion"/>
  </si>
  <si>
    <t>취약점 진단 수행 결과서,
시큐어 코딩 점검 결과서</t>
    <phoneticPr fontId="4" type="noConversion"/>
  </si>
  <si>
    <t>DB암호화 점검 결과서</t>
    <phoneticPr fontId="4" type="noConversion"/>
  </si>
  <si>
    <t>사업수행계획서
(경력확인서 포함)</t>
    <phoneticPr fontId="4" type="noConversion"/>
  </si>
  <si>
    <t>메뉴구성 및 권한정의서</t>
    <phoneticPr fontId="4" type="noConversion"/>
  </si>
  <si>
    <t>아키텍쳐 설계서</t>
    <phoneticPr fontId="4" type="noConversion"/>
  </si>
  <si>
    <t>프로그램 목록</t>
    <phoneticPr fontId="4" type="noConversion"/>
  </si>
  <si>
    <t>유지보수 표준 설계서</t>
    <phoneticPr fontId="4" type="noConversion"/>
  </si>
  <si>
    <t>○ 기술이전
 - 수행사는 공사의 운영자에게 교육 및 기술이전을 완수해야 함
 - 수행사는 시스템의 개발 및 운영, 모니터링 및 보안, 비상복구 방법 등 시스템 구성방법 및 장애 대체 방법, 기타 운영에 관한 사항 등 시스템 운영자의 자체 유지관리 능력 배양을 위한 기술 이전 계획을 제시하여야 함
 - 사업 수행과정과 관련된 필요한 기술이전 대상을 구체적으로 제시하여야 함
 - 시스템 운영자의 안정적 운영을 위한 기술 이전 분야, 방안, 기간 등에 대한 계획을 제시하여야 함
 - 수행사는 시스템의 확장/교체/변경 및 기능 보완, 연계 등에 필요한 제반 기술사항을 지원해야 함</t>
    <phoneticPr fontId="4" type="noConversion"/>
  </si>
  <si>
    <t>기술이전계획서,
시스템 운영 및 유지관리 지침서</t>
    <phoneticPr fontId="4" type="noConversion"/>
  </si>
  <si>
    <t>준공검사확인서(준공조서, 기성부문산출내역, 검사확인서, 비용산출 최종내역)
정보시스템 현황보고서,
최종 프로그램 소스코드 및 디자인 원본 파일 일체</t>
    <phoneticPr fontId="4" type="noConversion"/>
  </si>
  <si>
    <t>산출물 목록</t>
    <phoneticPr fontId="9" type="noConversion"/>
  </si>
  <si>
    <t>구분</t>
    <phoneticPr fontId="9" type="noConversion"/>
  </si>
  <si>
    <t>업무구분</t>
    <phoneticPr fontId="9" type="noConversion"/>
  </si>
  <si>
    <t>활동구분</t>
    <phoneticPr fontId="9" type="noConversion"/>
  </si>
  <si>
    <t>산출물명</t>
    <phoneticPr fontId="9" type="noConversion"/>
  </si>
  <si>
    <t>요구사항 번호</t>
    <phoneticPr fontId="9" type="noConversion"/>
  </si>
  <si>
    <t>비고</t>
    <phoneticPr fontId="9" type="noConversion"/>
  </si>
  <si>
    <t>관리산출물</t>
    <phoneticPr fontId="9" type="noConversion"/>
  </si>
  <si>
    <t>착수</t>
    <phoneticPr fontId="9" type="noConversion"/>
  </si>
  <si>
    <t>착수계(착수신고서, 사업수행계획서, 품질보증계획서, 위험관리계획서)</t>
    <phoneticPr fontId="9" type="noConversion"/>
  </si>
  <si>
    <t>PMR-001</t>
    <phoneticPr fontId="9" type="noConversion"/>
  </si>
  <si>
    <t>WBS</t>
    <phoneticPr fontId="9" type="noConversion"/>
  </si>
  <si>
    <t>보안서약서</t>
    <phoneticPr fontId="9" type="noConversion"/>
  </si>
  <si>
    <t>SER-005</t>
    <phoneticPr fontId="9" type="noConversion"/>
  </si>
  <si>
    <t>인터넷망 자체 보안성 검토</t>
    <phoneticPr fontId="9" type="noConversion"/>
  </si>
  <si>
    <t>SER-012</t>
    <phoneticPr fontId="9" type="noConversion"/>
  </si>
  <si>
    <t>수행</t>
    <phoneticPr fontId="9" type="noConversion"/>
  </si>
  <si>
    <t>주간/월간 보고서, 중간·최종 보고서 등 회의록</t>
    <phoneticPr fontId="9" type="noConversion"/>
  </si>
  <si>
    <t>PMR-004</t>
    <phoneticPr fontId="9" type="noConversion"/>
  </si>
  <si>
    <t>보안교육 결과보고서</t>
    <phoneticPr fontId="9" type="noConversion"/>
  </si>
  <si>
    <t>자료관리대장</t>
    <phoneticPr fontId="9" type="noConversion"/>
  </si>
  <si>
    <t>반출입관리대장</t>
    <phoneticPr fontId="9" type="noConversion"/>
  </si>
  <si>
    <t>완료</t>
    <phoneticPr fontId="9" type="noConversion"/>
  </si>
  <si>
    <t>완료 보고서</t>
    <phoneticPr fontId="9" type="noConversion"/>
  </si>
  <si>
    <t>자원현황 보고서</t>
    <phoneticPr fontId="9" type="noConversion"/>
  </si>
  <si>
    <t>PSR-001</t>
    <phoneticPr fontId="9" type="noConversion"/>
  </si>
  <si>
    <t>보안확약서</t>
    <phoneticPr fontId="9" type="noConversion"/>
  </si>
  <si>
    <t>SER-007</t>
    <phoneticPr fontId="9" type="noConversion"/>
  </si>
  <si>
    <t>매뉴얼</t>
    <phoneticPr fontId="9" type="noConversion"/>
  </si>
  <si>
    <t>사용자 매뉴얼</t>
    <phoneticPr fontId="9" type="noConversion"/>
  </si>
  <si>
    <t>관리자 매뉴얼</t>
    <phoneticPr fontId="9" type="noConversion"/>
  </si>
  <si>
    <t>감리</t>
    <phoneticPr fontId="9" type="noConversion"/>
  </si>
  <si>
    <t>감리보고서</t>
    <phoneticPr fontId="9" type="noConversion"/>
  </si>
  <si>
    <t>감리용역 산출물</t>
    <phoneticPr fontId="9" type="noConversion"/>
  </si>
  <si>
    <t>감리결과 조치내역 확인 보고서</t>
    <phoneticPr fontId="9" type="noConversion"/>
  </si>
  <si>
    <t>종료</t>
    <phoneticPr fontId="9" type="noConversion"/>
  </si>
  <si>
    <t>준공검사확인서(준공조서, 기성부문산출내역, 검사확인서, 비용산출 최종내역)</t>
    <phoneticPr fontId="9" type="noConversion"/>
  </si>
  <si>
    <t>PMR-005</t>
    <phoneticPr fontId="9" type="noConversion"/>
  </si>
  <si>
    <t>정보시스템 현황보고서</t>
    <phoneticPr fontId="9" type="noConversion"/>
  </si>
  <si>
    <t>최종 프로그램 소스코드 및 디자인 원본 파일 일체</t>
    <phoneticPr fontId="9" type="noConversion"/>
  </si>
  <si>
    <t>정보화사업 현황보고서</t>
    <phoneticPr fontId="9" type="noConversion"/>
  </si>
  <si>
    <t>COR-005</t>
    <phoneticPr fontId="9" type="noConversion"/>
  </si>
  <si>
    <t>단위테스트 계획/결과서 (기능별, 요구사항별, 등)</t>
    <phoneticPr fontId="9" type="noConversion"/>
  </si>
  <si>
    <t>TER-001, TER-002</t>
    <phoneticPr fontId="9" type="noConversion"/>
  </si>
  <si>
    <t>통합테스트 계획/결과서</t>
    <phoneticPr fontId="9" type="noConversion"/>
  </si>
  <si>
    <t>개발산출물</t>
    <phoneticPr fontId="9" type="noConversion"/>
  </si>
  <si>
    <t>분석 및 수행</t>
    <phoneticPr fontId="9" type="noConversion"/>
  </si>
  <si>
    <t>아키텍쳐 설계서</t>
    <phoneticPr fontId="9" type="noConversion"/>
  </si>
  <si>
    <t>ECR-001</t>
    <phoneticPr fontId="9" type="noConversion"/>
  </si>
  <si>
    <t>메뉴구성 및 권한정의서</t>
    <phoneticPr fontId="9" type="noConversion"/>
  </si>
  <si>
    <t>SFR-001</t>
    <phoneticPr fontId="9" type="noConversion"/>
  </si>
  <si>
    <t>프로그램 목록</t>
    <phoneticPr fontId="9" type="noConversion"/>
  </si>
  <si>
    <t>PMR-008</t>
    <phoneticPr fontId="9" type="noConversion"/>
  </si>
  <si>
    <t>요구사항 정의서, 요구사항 추적표</t>
    <phoneticPr fontId="9" type="noConversion"/>
  </si>
  <si>
    <t>PMR-009</t>
    <phoneticPr fontId="9" type="noConversion"/>
  </si>
  <si>
    <t>프로세스 정의서</t>
    <phoneticPr fontId="9" type="noConversion"/>
  </si>
  <si>
    <t>CNR-001</t>
    <phoneticPr fontId="9" type="noConversion"/>
  </si>
  <si>
    <t>인터페이스 정의서</t>
    <phoneticPr fontId="9" type="noConversion"/>
  </si>
  <si>
    <t>INR-001</t>
    <phoneticPr fontId="9" type="noConversion"/>
  </si>
  <si>
    <t>메뉴 목록 및 응용기능 차트</t>
    <phoneticPr fontId="9" type="noConversion"/>
  </si>
  <si>
    <t>SFR-004</t>
    <phoneticPr fontId="9" type="noConversion"/>
  </si>
  <si>
    <t>메뉴 구성도</t>
    <phoneticPr fontId="9" type="noConversion"/>
  </si>
  <si>
    <t>화면설계서</t>
    <phoneticPr fontId="9" type="noConversion"/>
  </si>
  <si>
    <t>취약점 진단 수행 결과서</t>
    <phoneticPr fontId="9" type="noConversion"/>
  </si>
  <si>
    <t>SER-009</t>
    <phoneticPr fontId="9" type="noConversion"/>
  </si>
  <si>
    <t>시큐어 코딩 점검 결과서</t>
    <phoneticPr fontId="9" type="noConversion"/>
  </si>
  <si>
    <t>DB암호화 점검 결과서</t>
    <phoneticPr fontId="9" type="noConversion"/>
  </si>
  <si>
    <t>SER-010</t>
    <phoneticPr fontId="9" type="noConversion"/>
  </si>
  <si>
    <t>완료</t>
  </si>
  <si>
    <t>기술이전 계획서</t>
  </si>
  <si>
    <t>시스템 운영 및 유지관리 지침서</t>
    <phoneticPr fontId="9" type="noConversion"/>
  </si>
  <si>
    <t>데이터 품질</t>
    <phoneticPr fontId="9" type="noConversion"/>
  </si>
  <si>
    <t>데이터 품질진단계획서</t>
    <phoneticPr fontId="9" type="noConversion"/>
  </si>
  <si>
    <t>QUR-001</t>
    <phoneticPr fontId="9" type="noConversion"/>
  </si>
  <si>
    <r>
      <t xml:space="preserve">예방적
품질관리
</t>
    </r>
    <r>
      <rPr>
        <sz val="9"/>
        <color theme="1"/>
        <rFont val="KoPub돋움체 Light"/>
        <family val="1"/>
        <charset val="129"/>
      </rPr>
      <t>(데이터 품질관리
 지침 제8조의2)</t>
    </r>
    <r>
      <rPr>
        <sz val="11"/>
        <color theme="1"/>
        <rFont val="KoPub돋움체 Light"/>
        <family val="1"/>
        <charset val="129"/>
      </rPr>
      <t xml:space="preserve">
</t>
    </r>
    <phoneticPr fontId="9" type="noConversion"/>
  </si>
  <si>
    <t>계획</t>
  </si>
  <si>
    <t>예방적 품질관리 체크리스트</t>
  </si>
  <si>
    <t>사업 발주전 기제출</t>
    <phoneticPr fontId="9" type="noConversion"/>
  </si>
  <si>
    <t>설계</t>
  </si>
  <si>
    <t>표준용어 정의서(SMETA)</t>
  </si>
  <si>
    <t>표준단어 정의서(SMETA)</t>
  </si>
  <si>
    <t>표준도메인 정의서(SMETA)</t>
  </si>
  <si>
    <t>표준코드 정의서(SMETA)</t>
  </si>
  <si>
    <t>데이터 표준관리 방안</t>
  </si>
  <si>
    <t>DAR-002</t>
    <phoneticPr fontId="9" type="noConversion"/>
  </si>
  <si>
    <t>데이터베이스 정의서</t>
  </si>
  <si>
    <t>DAR-003</t>
    <phoneticPr fontId="9" type="noConversion"/>
  </si>
  <si>
    <t>엔터티 정의서</t>
  </si>
  <si>
    <t>에트리뷰트 정의서</t>
  </si>
  <si>
    <t>데이터모델다이어그램정의서(개념·논리·물리)</t>
    <phoneticPr fontId="9" type="noConversion"/>
  </si>
  <si>
    <t>테이블 정의서(SMETA)</t>
  </si>
  <si>
    <t>컬럼 정의서(SMETA)</t>
  </si>
  <si>
    <t>데이터 모델 검증 계획 및 결과</t>
  </si>
  <si>
    <t>DAR-004</t>
    <phoneticPr fontId="9" type="noConversion"/>
  </si>
  <si>
    <t>데이터 구조관리 방안</t>
  </si>
  <si>
    <t>DAR-005</t>
    <phoneticPr fontId="9" type="noConversion"/>
  </si>
  <si>
    <t>개발</t>
  </si>
  <si>
    <t>데이터 값 진단 계획 및 결과(SDQ)</t>
    <phoneticPr fontId="9" type="noConversion"/>
  </si>
  <si>
    <t>DAR-006</t>
    <phoneticPr fontId="9" type="noConversion"/>
  </si>
  <si>
    <t>업무규칙 정의서(SDQ)</t>
  </si>
  <si>
    <t>이관데이터 검증 계획 및 결과</t>
  </si>
  <si>
    <t>DAR-007</t>
    <phoneticPr fontId="9" type="noConversion"/>
  </si>
  <si>
    <t>데이터 관리 매뉴얼</t>
  </si>
  <si>
    <t>DAR-008</t>
    <phoneticPr fontId="9" type="noConversion"/>
  </si>
  <si>
    <t>연계데이터 관리 매뉴얼</t>
  </si>
  <si>
    <t>연계데이터 정의서</t>
  </si>
  <si>
    <t>개방데이터 서비스 연속성 확보방안 계획 및 결과</t>
    <phoneticPr fontId="9" type="noConversion"/>
  </si>
  <si>
    <t>DAR-009</t>
    <phoneticPr fontId="9" type="noConversion"/>
  </si>
  <si>
    <t>메타데이터 현행화 결과</t>
  </si>
  <si>
    <t>컨설팅</t>
    <phoneticPr fontId="9" type="noConversion"/>
  </si>
  <si>
    <t>설비 표준체계 정의서</t>
    <phoneticPr fontId="9" type="noConversion"/>
  </si>
  <si>
    <t>CNR-002</t>
    <phoneticPr fontId="9" type="noConversion"/>
  </si>
  <si>
    <t>자재 표준체계 정의서</t>
    <phoneticPr fontId="9" type="noConversion"/>
  </si>
  <si>
    <t>CNR-003</t>
    <phoneticPr fontId="9" type="noConversion"/>
  </si>
  <si>
    <t>유지보수 표준 설계서</t>
    <phoneticPr fontId="9" type="noConversion"/>
  </si>
  <si>
    <t>CNR-004</t>
    <phoneticPr fontId="9" type="noConversion"/>
  </si>
  <si>
    <t>기존 시스템 단계적 폐기 계획서</t>
    <phoneticPr fontId="9" type="noConversion"/>
  </si>
  <si>
    <t>CNR-005</t>
    <phoneticPr fontId="9" type="noConversion"/>
  </si>
  <si>
    <t>○ 도면 전산화(지능화)
 - PDF 또는 이미지 형식의 도면(대상 : P&amp;ID 및 SLD)에서 Tag No, 파이프, 펌프, 설비 BOM 등의 주요 정보 추출, 이를 스마트 도면으로 전환
 - 도면 전산화 기술(AI/OCR 등) 제시
 - 파일 형태의 관리가 아닌 DB 형태의 스마트 도면 관리 기능
 - 도면 전산화 중 발생한 오류/오차 등의 수정 기능
 - 향후 추가되는 신규 도면 등록 시, 스마트 도면으로 전환 가능하도록 사용자 맞춤형 기능 제공
○ 도면 전산화에 필요한 용역 비용 및 방법 제시
 - 대상 도면 수 : 5,000 장
○ 공사 현재 관리중인 비전산화 도면에 대한 관리방안 제시(파일 및 수정이력 관리 등)
(CNR-002) - Tag No, 설비 연관 정보, 설비 BOM(자재 리스트 및 수량), 기타 속성 및 단위 정보 등 추출 및 DB화</t>
    <phoneticPr fontId="4" type="noConversion"/>
  </si>
  <si>
    <t>○ 현장기술지원(토건시설물) : 건설관리부 토건시설물 유지보수 기술지원 (건설관리 시스템 內 구현)
 - 기술지원(공법선정, 예상공사비, 예산협조) 요청 등록 
 - 기술지원서 의견 송부
 - (현황 또는 이력관리) 시설물 유지관리 기록대장 
 - 우리공사 별도 양식 제공
○ 현장기술지원(현장연구) : 현장 기술지원 연구용역 지원 요청(플랜트관리 시스템 內 구현)
 - 현장기술지원 요청 및 현장기술지원 검토결과로 구성
○ 현장기술지원(품질관리) : 현장연구(열수송, 열원 등) 및 품질 검사 지원 요청(플랜트관리 시스템 內 구현)
 - 품질 검사 입회요청 및 품질 검사 입회 결과로 구성</t>
  </si>
  <si>
    <t>○ AI 학습 및 맥락화를 위한 우리 공사 現 자재 표준체계(기준) 수립
 - 자재 분류체계 수립
 - 자재 식별체계(품목코드 채번 체계) 수립
 - 자재 속성체계 수립
 - 자재 표기체계(명명규칙, 단위, 약어 등) 수립
 - 1자재 1코드 QR코드 부착
 - 자재 안전재고 산출 방안 수립(AI 기술 활용 등 제안사 특화 기능 제시)
○ AI 학습 및 맥락화를 위한 우리 공사 19개 지사 열원/열수송/열량계 자재 기준정보(데이터) 표준체계에 따른 현장조사 및 DB화
 - 현장조사 : 문서, 도면, 준공도서, 사진촬영 등 데이터 수집</t>
    <phoneticPr fontId="4" type="noConversion"/>
  </si>
  <si>
    <t>○ 법정검사 관리
 - 법정검사 대상 설비 조회/지정, 설비별 법정검사 신규등록 및 상세내용/실적, 관련 법조항 확인 기능 제공
 - 법정검사 항목별 시행/미시행 여부 선택 기능 제공
 - 법정검사 신규 입력 시, 검사주기, 검사시기, 기준일자 등록으로 검사일정 자동 생성 기능 제공
 - 법정검사 실적 조회 시, 검사 성적서, 검사결과보고서, 시정조치 확인서 등 첨부 자료 등록/조회/다운로드
 - 연도별/월별 법정검사 계획 및 실적 건수 집계/조회
 - 월별 검사 계획 리스트 조회 및 검사결과 입력 기능 제공
 - 월별 검사 실적 리스트 및 검사결과 조회 기능 제공
 - 예정일 임박, 실적 미입력, 법정 기한 만료 예정에 대한 알림 기능 제공</t>
    <phoneticPr fontId="4" type="noConversion"/>
  </si>
  <si>
    <t>○ 공사오더 - 작업결과 관리
 - 실작업기간/작업형태/작업내용/작업결과/수행사진/관련자료첨부 등 관리 기능
 - 작업결과는 승인 후 대상 설비의 정비 이력으로 자동 반영
 - 정기점검 주기 관리 및 차기 정기점검보수 일정 자동 등록 기능</t>
    <phoneticPr fontId="4" type="noConversion"/>
  </si>
  <si>
    <t>○ TM 관리
 - TM 기본정보 및 상세정보(작업등급, 고장증상, TM 내용, 조치내용 등) 조회/관리 기능
 - 진행상태, 발행일자, 설비마스터, 고장코드 등 다중 필터 검색 기능
 - TM과 연계된 작업오더 조회 기능
 - TM 승인 건에 대한 작업오더 생성 기능
 - 현장에서 QR코드(또는 작업구역 QR북) 스캔을 통한 모바일 TM 발행 기능
 - 다수의 설비에 대한 TM 일괄 발행 기능
 - TM 발행 시, 선택 설비에 대한 고장정보 연계 및 자동 입력 기능
 - TM과 동일/유사 내용의 작업오더/고장속보(TM 미연결된) 기발행 여부 검색 및 연계 기능</t>
    <phoneticPr fontId="4" type="noConversion"/>
  </si>
  <si>
    <t>○ 고장통계 관리
 - 기간, 지사, 설비, 고장유형/고장모드, 고장원인, 중요도, 정비전략 등 조건에 따른 고장통계(표, 그래프 동시 제공)기능
 - 지표에 대한 정의, 산식 정보 표시(툴팁, 안내문 등) 기능
 - 주요 통계 지표별 전년동기/전월 대비 및 목표 대비 증감율 제공
 - 모든 차트/표는 엑셀 등 문서로 다운로드 및 출력 기능 제공</t>
    <phoneticPr fontId="4" type="noConversion"/>
  </si>
  <si>
    <t>○주관사업자는 사업 수행 기간 동안 WBS(작업분류체계)와 형상관리 시스템이 연동된 자동화된 프로젝트 관리 도구(PMS)를 적용해야 한다.
○개발 진척률은 개발자의 주관적 판단(%) 입력을 지양하고, 실제 소스코드 커밋 건수, 테스트 통과율 등 정량적 데이터에 기반하여 시스템이 자동으로 산출해야 한다.
○프로젝트 관리자(PM) 및 발주사가 실시간으로 프로젝트 현황, 지연 요소, 리스크를 식별할 수 있는 통합 대시보드를 제공해야 한다.</t>
    <phoneticPr fontId="4" type="noConversion"/>
  </si>
  <si>
    <t>○ 보안 위약금 부과 기준
 - 위규 수준별 A~D 등급 차등 부과
 - A급 : 심각 1건 (부정당업자 등록) / B급 : 중대 1건 (계약금의 10% 이하) / C급 : 보통 2건 이상 (계약금의 5% 이하) / D급 : 경미 3건 이상 ( 계약금의 2% 이하)
 - 보안 위약금에 대한 사항은 다른 요인에 의해 상쇄 및 삭감 할 수 없도록 부과 (타 항목과 별도 부과)
 - 사업 종료 시 지출금액 조정을 통해 위약금 정산</t>
    <phoneticPr fontId="4" type="noConversion"/>
  </si>
  <si>
    <t>과업내용서</t>
    <phoneticPr fontId="9" type="noConversion"/>
  </si>
  <si>
    <t>AI 기반 플랜트 통합관리 시스템 구축</t>
    <phoneticPr fontId="9" type="noConversion"/>
  </si>
  <si>
    <t>○ 수행조직 구성 관련 사항 제시
 - 사업수행책임자(PM)는 반드시 제안사 소속으로 정보시스템 구축 사업의 지식과 경험을 보유한 관리자이어야 함
 - 사업수행조직과 단계별 핵심인력 구성 및 투입계획, 작업 단위별 업무분장, 투입비율 등을 제시해야 함
 - 투입 핵심인력(PM, PL 포함)에 대한 자격, 경력, 유사사업 참여실적을 상세하게 제시해야 함
 - 수행사는 계약서, 제안서, 과업수행계획서 및 착수계에 명시된 인력의 참여를 원칙으로 함
 - 사업 성공을 위한 추진조직 외 지원 또는 자문 조직 구성 제시 가능(관련비용은 수행사 비용으로 진행)
○ 투입인력 교체 관련 사항
 - 수행사는 투입인력 교체, 업무수행 중단 시 사전에 공사와 협의해야 하며, 교체 시에는 동일등급 이상의 인력으로 교체하여야 함
 - 사업기간동안 투입인력은 상주를 원칙으로 하며, 상주시기 및 인원은 공사와 협의(상주 시 부대비용은 제안사 부담)
 - 인력의 전문성 부족 또는 인력보완 판단 시, 교체 및 보완 등 협의를 거쳐 조치를 요청할 수 있음
 - 사업수행책임자(PM)는 교체 불가를 원칙으로 하며, 필요시 공사와 협의 후 대안 제시</t>
    <phoneticPr fontId="4" type="noConversion"/>
  </si>
  <si>
    <t>사이버보안센터 의견 반영</t>
    <phoneticPr fontId="4" type="noConversion"/>
  </si>
  <si>
    <t>사이버보안센터 의견 반영</t>
    <phoneticPr fontId="4" type="noConversion"/>
  </si>
  <si>
    <t>○ 시스템 개발 시 OS 웹서버 등에 보안패치를 실시하여야 함
○ 초기 개발 단계부터 ‘소프트웨어 개발보안 가이드(행정안전부)’를 적용하여  응용소프트웨어를 개발하여야 함
○ 수행절차에 따라 다음의 가이드를 이행
  - 요구정의 단계 : 시큐어 코딩 표준작성 및 개발자 교육 실시
  - 설계/구현 단계 : 시큐어코딩 표준준수 및 검토
  - 테스트 단계 : 시큐어코딩 진단 미 보안취약점 진단
○ “행정기관 및 공공기관 정보시스템 구축ㆍ운영 지침” 의 별표3 ‘소프트웨어 보안약점 기준’을 참조하여 웹보안 취약점을 사전에 점검하고 조치
○ 공사에서 제공하는 시큐어 코딩 진단 장비를 이용하여 개발에 적용함
○ 도입되는 모든 정보자원은 발생할 수 있는 다양한 보안 취약점을 사전에 분석하고 제거를 완료하여 안전한 제품으로 설치</t>
    <phoneticPr fontId="4" type="noConversion"/>
  </si>
  <si>
    <t>○ 보안사항
 - 정보누출금지 관련 「보안서약서」를 착수계 제출 시 포함하여 제출
 - 사업 착수 후, 용역수행사 대표 및 참여기술자는 즉시 정보누출금지 관련 보안교육을 받은 후 사업 수행
 - 참여기술자의 변경 등이 있는 경우, 보안서약서 제출 및 보안교육을 받은 후 참여
 - 과업수행계획서의 보안대책사항에는 비밀정보의 범위, 보안준수 사항, 자료의 반환 등의 내용이 포함되어야 함
 - 용역수행사가 하도급 계약을 체결할 경우 본 용역계약 수준의 비밀 유지하는 조항 포함
 - ‘누출금지 대상정보’를 공사에 요청할 경우, ‘자료관리 대장’에 인계자ㆍ인수자 서명 후 제공받고 용역완료시 관련 자료 반납
 - 관련자료 및 사업과정에서 생산된 산출물을 우리 공사의 파일 서버에 저장 또는 공사가 지정한 PC에 저장ㆍ관리해야 함
 - 용역 관련 자료는 인터넷 웹하드ㆍP2P 등 인터넷 자료공유 사이트 및 개인메일함에 저장을 금지함
 - 우리 공사와 용역수행사간 전자우편을 이용해 자료전송이 필요한 경우, 첨부자료 암호화 후 수발신(단, 대외비 이상의 비밀은 전자우편 수발신 금지)
 - 우리 공사가 제공한 사무실에서 용역을 수행할 경우, 제공한 비공개자료는 매일 퇴근시 반납하고, 일반문서는 제공된 사무실에 시건장치가 된 보관함이 있을 경우 이에 보관 가능
 - 본 용역사업 수행으로 생산되는 산출물 및 기록은 공사가 인가하지 않은 비인가자에게 제공ㆍ대여ㆍ열람 금지
 - 공사는 용역 업무를 수행하는 공간에 대한 정기적 보안점검 실시할 수 있음
 - 용역수행에 필요한 노트북 등 관련 장비 외부 반출입시마다 악성코드 감염여부 및 자료 무단반출 여부를 확인받아야 함
 - 인가받지 않은 USB 등의 휴대용 저장매체 사용 금지
 - 산출물 저장을 위해 휴대용 저장매체가 필요한 경우, 공사의 승인하에 사용 가능</t>
    <phoneticPr fontId="4" type="noConversion"/>
  </si>
  <si>
    <t>○ 주관사업자는 개발 생산성 향상 및 소스코드 품질 분석을 위한 'AI 기반 개발 환경(Code Assistant 등)'을 구축해야 한다.
○ [인프라 제공 의무] 해당 AI 솔루션 구동에 필요한 H/W(GPU 서버 등), S/W 라이선스 등 일체의 인프라는 본 사업 기간 동안 주관사업자가 자체 비용으로 제공해야 한다.
○ [보안 준수] 모든 AI 환경은 외부 인터넷이 차단된 폐쇄망(On -Premise) 내에서 독립적으로 구동되어야 하며, 데이터 외부 유출 방지 조치를 적용해야 한다.</t>
    <phoneticPr fontId="4" type="noConversion"/>
  </si>
  <si>
    <r>
      <t>○ 목표시스템 가동 이후 시스템 기능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성능 모니터링, 교육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기술지원 등 안정화 활동 수행계획 및 이행방안을 제시한다.
 - 안정화 활동 : 일별 가동 상태 모니터링 및 기록, 예방점검 활동 실시, 운영 유지관리 인력 교육, 자체 헬프데스크 운영 및 비상연락 체제 가동, 개발자원이관 및 기술지원 등을 의미
○ 안정화 기간을 확보하고 해당 기간 내 검수를 통해 본 사업의 준공을 해야 한다.</t>
    </r>
    <phoneticPr fontId="4" type="noConversion"/>
  </si>
  <si>
    <t xml:space="preserve">○ 주관사업자는 소스코드의 품질 확보를 위해 단순 구문 점검을 넘어선 AI 기반의 정적/동적 분석 체계를 적용해야 한다.
○ [폐쇄망 환경 지원] 해당 품질 관리 활동은 외부망 접속이 차단된 내부망(On -Premise) 환경에서 수행 가능해야 하며, 이에 필요한 인프라 및 라이선스는 사업자가 제공한다. </t>
    <phoneticPr fontId="4" type="noConversion"/>
  </si>
  <si>
    <t>○ 비정형 데이터(도면/이미지) 구축 요건
 - 디지털 문서(텍스트형 PDF, 한글 등): 텍스트를 추출(Parsing)하여 문단 단위로 벡터 DB화 할 수 있도록 구조화 하여야한다.
 - 이미지/수기 도면(스캔파일 등):
 - OCR 인식률이 낮은 수기 도면은 무리한 텍스트 변환을 지양하고, 대신 AI가 식별 가능한 수준의 '상세 메타데이터'를 태깅하여 DB화해야 한다.
 - 필수 태깅 항목: 설비명, 설비코드(Tag No), 도면유형(P&amp;ID, ISO 등), 작성일자, 주요 부품명, 지사명 등
 - 파일명이 아닌, 시스템 내 메타데이터 테이블과 파일을 1:1로 매핑하여, 향후 AI가 메타데이터를 통해 해당 설비도면을 호출할 수 있도록 구조화해야 한다.</t>
    <phoneticPr fontId="4" type="noConversion"/>
  </si>
  <si>
    <t xml:space="preserve">○ 설비마스터 관리
 - 설비마스터 등록/수정 기능(기본정보, 기술정보, 자산정보, 상세정보, 속성정보 등)
 - 설비마스터 등록/수정 등 이력 관리 기능
 - 설비마스터 필수 속성정보의 입력 누락/오기입 방지 유효성 검증 기능
 - 설비마스터 중복 등록 방지 및 기능위치 배치 오류 방지 기능(AI 기술 활용 등 제안사 특화 기능 제시)
 - 설비마스터 속성 정보 중 자재교체 일정, 예방점검 일정 등 주요 일정 도래 시, 알람 발생 기능
 - 다수의 연관된 설비마스터로 구성된 설비그룹 관리 기능
 - 설비마스터와 연관된 차단기 및 밸브 정보 관리 기능
○ 기능위치를 활용한 설비마스터 조회
 - 기능위치에서 특정 수준(Level) 선택 시, 해당 수준 및 하위 수준에 속한 설비마스터 목록 조회 및 상세 정보 조회 기능
○ 설비마스터 상세정보 조회
 - 설비번호, 설비명, 태그번호, 기능위치명, 설비종류, 상태, 도면번호 등 모든 설비마스터 관리 속성 조회 제공
 - TM 이력, Red Tag 이력, 작업이력, 고장이력, 자재사용이력, 설비 BOM, 설계기준서 등 설비마스터와 연관된 정보 조회 기능(새창/새탭/팝업/영역구분 등)
 - 설비마스터 변경이력(변경자, 변경일시, 변경사유 등) 조회 기능
 - 설비마스터와 연관된 스마트 도면 및 일반 문서도면, 기술문서 등 조회 기능
(CNR-002) - 설비마스터 분류체계, 코드체계, 관리속성, 식별체계, 표기표준 등을 포함하는 설비마스터 표준화 방안, DB화 방안 제시 및 수행 용역 포함
(CNR-002) - 19개 지사 설비 현장/현황 조사 및 DB화 용역 포함 </t>
  </si>
  <si>
    <t xml:space="preserve">○ 설비마스터 관리
 - 설비마스터 등록/수정 기능(기본정보, 기술정보, 자산정보, 상세정보, 속성정보 등)
 - 설비마스터 등록/수정 등 이력 관리 기능
 - 설비마스터 필수 속성정보의 입력 누락/오기입 방지 유효성 검증 기능
 - 설비마스터 중복 등록 방지 및 기능위치 배치 오류 방지 기능(AI 기술 활용 등 제안사 특화 기능 제시)
 - 설비마스터 속성 정보 중 자재교체 일정, 예방점검 일정 등 주요 일정 도래 시, 알람 발생 기능
 - 다수의 연관된 설비마스터로 구성된 설비그룹 관리 기능
 - 설비마스터와 연관된 차단기 및 밸브 정보 관리 기능
○ 기능위치를 활용한 설비마스터 조회
 - 기능위치에서 특정 수준(Level) 선택 시, 해당 수준 및 하위 수준에 속한 설비마스터 목록 조회 및 상세 정보 조회 기능
○ 설비마스터 상세정보 조회
 - 설비번호, 설비명, 태그번호, 기능위치명, 설비종류, 상태, 도면번호 등 모든 설비마스터 관리 속성 조회 제공
 - TM 이력, Red Tag 이력, 작업이력, 고장이력, 자재사용이력, 설비 BOM, 설계기준서 등 설비마스터와 연관된 정보 조회 기능(새창/새탭/팝업/영역구분 등)
 - 설비마스터 변경이력(변경자, 변경일시, 변경사유 등) 조회 기능
 - 설비마스터와 연관된 스마트 도면 및 일반 문서도면, 기술문서 등 조회 기능
(CNR-002) - 설비마스터 분류체계, 코드체계, 관리속성, 식별체계, 표기표준 등을 포함하는 설비마스터 표준화 방안, DB화 방안 제시 및 수행 용역 포함
(CNR-002) - 19개 지사 설비 현장/현황 조사 및 DB화 용역 포함 </t>
    <phoneticPr fontId="4" type="noConversion"/>
  </si>
  <si>
    <t>○ 사업 착수단계 보안 사항
 - 우리 공사의 각종 보안 관련 지침 확인
 - 각종 보안서약서 및 확약서 작성 및 제출
○ 사업 분석 단계 보안 사항
 - 보안 요구사항 식별 및 정보보호 정책 수립
○ 사업 수행 단계 보안 사항
 - 목표시스템 구축 시(프로그램 및 DB 등 전반적인 영역) 보안 적용 
 - 외부 인터페이스 식별 및 연계 시 보안 적용 
 - 개발환경 보안 및 보안 요건에 따른 테스트 절차 설계 및 수행 
 - 보안 표준/가이드 수립 및 교육 
 - 보안솔루션 적용방안 점검 
○ 사업 완료 단계 보안 사항
 - 사업 완료 후 생산되는 최종 산출물 중 대외보안이 요구되는 자료는 대외비 이상으로 작성ㆍ관리
 - 그 외 불필요한 자료는 삭제 및 폐기
 - 용역수행사에 제공한 자료, 장비, 서류와 중간ㆍ최종 산출물 등 용역과 관련된 제반 자료는 전량 회수 및 복사본 등 별도 보관 금지
 - 사업 완료 후 업체소유 PC서버. 노트북 등 전자기록 저장매체는 국가정보원장이 검증한 삭제 장비(공사 제공)로 완전 삭제 후 반출
 - 반입 장비중 SSD 등 저장매체의 경우 사업종료 후 완전 파괴 (반출 불가)
 - 용역사업 관련 자료 회수 및 삭제 조치 후, 복사본 등 용역사업 관련 자료 미보유에 대한 수행사 대표 명의의 확약서 징구
 - 용역수행사가 지식재산권 행사를 위해 필요한 SW산출물의 반출을 요청하는 경우, 비밀정보를 제외한 산출물을 공사가 별도 제공
 - 산출물은 보안규정 준수를 전제로 제공하며 타 기관 등으로 누출 금지</t>
  </si>
  <si>
    <t>○ 사업 착수단계 보안 사항
 - 우리 공사의 각종 보안 관련 지침 확인
 - 각종 보안서약서 및 확약서 작성 및 제출
○ 사업 분석 단계 보안 사항
 - 보안 요구사항 식별 및 정보보호 정책 수립
○ 사업 수행 단계 보안 사항
 - 목표시스템 구축 시(프로그램 및 DB 등 전반적인 영역) 보안 적용 
 - 외부 인터페이스 식별 및 연계 시 보안 적용 
 - 개발환경 보안 및 보안 요건에 따른 테스트 절차 설계 및 수행 
 - 보안 표준/가이드 수립 및 교육 
 - 보안솔루션 적용방안 점검 
○ 사업 완료 단계 보안 사항
 - 사업 완료 후 생산되는 최종 산출물 중 대외보안이 요구되는 자료는 대외비 이상으로 작성ㆍ관리
 - 그 외 불필요한 자료는 삭제 및 폐기
 - 용역수행사에 제공한 자료, 장비, 서류와 중간ㆍ최종 산출물 등 용역과 관련된 제반 자료는 전량 회수 및 복사본 등 별도 보관 금지
 - 사업 완료 후 업체소유 PC서버. 노트북 등 전자기록 저장매체는 국가정보원장이 검증한 삭제 장비(공사 제공)로 완전 삭제 후 반출
 - 반입 장비중 SSD 등 저장매체의 경우 사업종료 후 완전 파괴 (반출 불가)
 - 용역사업 관련 자료 회수 및 삭제 조치 후, 복사본 등 용역사업 관련 자료 미보유에 대한 수행사 대표 명의의 확약서 징구
 - 용역수행사가 지식재산권 행사를 위해 필요한 SW산출물의 반출을 요청하는 경우, 비밀정보를 제외한 산출물을 공사가 별도 제공
 - 산출물은 보안규정 준수를 전제로 제공하며 타 기관 등으로 누출 금지</t>
    <phoneticPr fontId="4" type="noConversion"/>
  </si>
  <si>
    <t>착수계(착수신고서, 사업수행계획서, 품질보증계획서, 위험관리계획서,WBS 등)</t>
  </si>
  <si>
    <t>착수계(착수신고서, 사업수행계획서, 품질보증계획서, 위험관리계획서,WBS 등)</t>
    <phoneticPr fontId="4" type="noConversion"/>
  </si>
  <si>
    <r>
      <t>○ 본 사업의 하자담보책임 기간은 계약예규의 용역계약일반조건 제58조 제1항에 따라 검사에 의하여 사업의 종료 후 1년간으로 함
○ 하자담보 범위는 계약예규 용역계약일반조건 제58조에 따라 하자담보책임 기간 중에 발생한 소프트웨어 또는 정보시스템 등의 결함을 수정하는 것을 말한다. 다만, 아래의 경우 유상유지관리 및 재개발로 본다.
  - 하자보수기간 경과 후 발생된 하자에 대한 복구 및 지원
  - 과업내용서상 반영되지 않은 개선
  - 이미 구매한 물품 또는 이와 연동된 제품을 기초로 추가되는 개발 및 구축
  - 사용방법의 개선을 위한 요구사항 추가
  - 계약서에 명시되지 않은 사용자에 대한 교육 및 기술지원
○ 제안사는 소프트웨어(솔루션 등 추가 도입 시) 라이선스 정책, 업그레이드 조건, 유상 유지관리의 요율이 포함된 유지관리 조건을 자사, 제조사 또는 공급사로부터 확인하여 제안서에 제시하여야 하고, 기술지원확약서(유지관리 보증서)에 상기 내용을 포함하여 계약 전까지 제출
○ 무상 하자보증기간 만료 후 유상 유지관리 계약 체결 시 구매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납품한 SW의 유지관리 비용은 SW대가산정가이드 및 우리공사 정보시스템 유지관리 요율을 기준으로 하되 상호 협의하여 결정
○ 제안사는 시스템 체계 전반에 걸쳐 상세한 하자</t>
    </r>
    <r>
      <rPr>
        <sz val="11"/>
        <color theme="1"/>
        <rFont val="MS Gothic"/>
        <family val="3"/>
        <charset val="128"/>
      </rPr>
      <t>․</t>
    </r>
    <r>
      <rPr>
        <sz val="11"/>
        <color theme="1"/>
        <rFont val="KoPub돋움체 Medium"/>
        <family val="1"/>
        <charset val="129"/>
      </rPr>
      <t>유지관리 계획을 수립 및 제출
○ 하자담보책임 기간 내에 하자가 발생하여 하자보수를 요청한 경우 계약상대자는 요청을 받은 즉시 그 하자를 보수하여야 하며 해당 하자의 발생원인 및 기타 조치사항을 명시하여 사업담당자에게 제출하여야 함
○ 제안사는 하자담보책임 범위와 향후 수행할 유지관리 범위 및 대가에 대해 명확하게 구분하여 제안하여야 함
○ 계약상대자가 제3자로부터 구매하여 공급한 제품과 자체 개발한 SW를 포함한 전 시스템의 하자담보 책임기간은 준공검사완료일로부터 1년으로 한다. (단, H/W는 3년)
○ 모든 SW는 안정성이 입증된 최신 버전으로 제공해야 함
○ 계약상대자는 본 용역에 참여한 기술자들의 이직 등 신변 변동이 있을 경우에는 하자보수 책임기간에 지장이 없도록 적절한 조치를 취하여야 함
○ 계약상대자는 하자보수 책임기간에 계약상대자의 오류로 인해 발생한 본 용역의 하자에 대하여 계약상대자의 비용으로 재수행해야 하며, 하자가 발생 시에는 발주자의 요청에 의해 즉시 원인을 조사하고 시정에 필요한 조치를 제안하는 보고서를 제출해야 함</t>
    </r>
    <phoneticPr fontId="4" type="noConversion"/>
  </si>
  <si>
    <t>○ IT 인프라 구성 표준
 - OS : RHEL 9.4 이상
 - JDK : OpenJDK 17 이상
 - WEB : nginx 1.28 이상
 - WAS : Tomcat 9 이상
 - DB : Oracle 19c (Standard)
○ 개발환경 구성 표준
 - 전자정부프레임워크 기반 개발환경 준수
○ IT 인프라 구성 표준 준수 시, 우리 공사의 가상서버 제공 및 운영 지원
○ IT 인프라 구성 표준 및 개발환경 구성 표준 미준수 시,  제안사 직접 납품 및 운영·유지보수 방안 제시 필수
○ WEB/WAS/DB 등의 운영 Port는 우리 공사가 지정한 Port로 변경 운영 필수(Well -Known Port 사용 불가)
○ 우리 공사 직원의 업무환경인 가상 데스크탑 환경(VDI. 이하, 내부 업무환경)에서 속도 저하 및 지연없이 모든 서비스 제공
○ Microsoft Edge 브라우저에서 추가 프로그램(플러그인 등) 설치없이 모든 기능 제공</t>
  </si>
  <si>
    <t>아키텍쳐 설계서</t>
  </si>
  <si>
    <t>○ 계정 및 권한관리
 - 로그인 계정별 관리자 권한과 사용자 권한 관리 기능
 - 관리자 권한으로 권한 그룹 관리 및 주요 시스템 설정 수행
 - 사용자별 권한 및 역할에 따른 관리 기능(메뉴접근/승인/조회/공사/작업/예약/주요정보 등)
 - 외부 협력사 계정은 계약 기간에 따른 '사용 유효기간(Expiry Date)' 설정 기능을 필수 제공하고, 기간 만료 시 자동 잠금(Lock) 처리되어야 함
○ 로그인 시 보직 선택 기능 제공
 - 인사 시스템의 '부서' 정보만으로는 사용자의 구체적인 수행 업무(기계/전기/제어/안전 등)를 식별할 수 없으므로, 최초 로그인 또는 권한 변경 필요 시 사용자가 자신의 '보직(Role)'을 직접 선택할 수 있는 팝업 화면을 제공해야 한다.
○ 보직 선택에 따른 권한 자동 매핑
 - 사용자가 선택한 보직에 따라, 사전에 정의된 '권한 그룹(Role)'과 '메뉴 접근 권한'이 즉시 시스템에 반영되어야 한다.
○ 다중 보직 및 겸직 지원
 - 2개 이상의 보직을 수행하는 겸직 사용자(파견 등) 를 위해, 로그인 후에도 상단 메뉴바 등을 통해 보직(Workspace) 전환이 가능하도록 구현해야 한다.
○ 보직 변경 이력 관리
 - 사용자가 보직을 선택하거나 변경한 이력(변경일시, 변경 전/후 보직, 접속 IP 등)은 시스템에 기록 및 보관되어야 한다.
○ 동일 ID 중복 역할인 경우, 한 번에 처리
 - 두 가지 이상 직책을 동일 직원이 중복해서 맡을 경우, 중복업무를 한 번에 처리(동일 ID로 검토 시 동일 문건 중 한 건이 처리되면 다른 건도 자동으로 처리)
 EX) (당초) 홍길동 기안 – 홍길동 팀장 – OOO 부장 -&gt; (변경) 홍길동 기안 –   (생략)   – OOO 부장
○ Project OBS 설정 방법
 - 인사발령 등으로 인한 변경시 즉시 반영될 수 있도록 OBS(Organization Breakdown Structure) 설정 방법에 대한 개선
 - 관리자가 변경되는 조직에 맞게 OBS를 유동적으로 변경할 수 있도록 설정 가능</t>
  </si>
  <si>
    <t>메뉴구성 및 권한정의서</t>
  </si>
  <si>
    <t>○ 모바일 공통 기능
 - 기능 요구사항에서 '모바일'로 표시된 기능은 내부 직원 및 외부(협력사/시공사 등) 직원으로 구분하여 모바일에서 제공
 - 모바일은 Android OS 와 iOS 를 지원
 - 사용자별 권한 및 역할에 따른 승인 처리 기능
 - 승인/이상/공사/작업/예약/주요정보 등의 알림(알람)을 모바일 PUSH로 제공
○ 모바일 기능은 개인 모바일, 지급형 단말기(내부망 접근) 구성으로 분리하여 제공
 - 시스템은 사용자가 접속한 단말기 유형(개인용/지급형)과 네트워크(외부망/내부망)을 자동식별하여, 그에 맞는 메인화면과 메뉴트리를 동적으로 구성
○ 모바일 기능은 우리 공사에서 기 운영 중인 '스마트 안전관리' 모바일 앱과 분리하여 별도로 운영할 수 있는 방안 제안 필수
○ 모바일 기능은 우리 공사의 보안등급(C -Classified, 기밀/S -Sensitive, 민감/O -Open, 공개)을 준용하여 보안성 검토를 받아야 한다
○ 모바일 기능은 모바일 환경(개인모바일, 지급형 단말기) UI/UX 최적화
○ 네트워크 음영지역(지하 공동구 등)에서도 점검 결과 입력 및 조회가 가능하도록 오프라인 모드(Data Caching &amp; Sync) 기능 필수 제공
○ 모바일 보안을 위해 화면 캡처 방지, 루팅 감지 등 공사 모바일 보안 가이드라인 준수 및 MDM 연동 지원
○ 하이브리드/웹 표준 기반 디바이스 제어: 모바일 웹 환경에서도 현장 업무 처리를 위해 스마트폰의 카메라, GPS, 파일 시스템에 직접 접근할 수 있는 Web API 또는 하이브리드 브릿지 기술을 적용해야 한다.
○ QR/바코드 스캔 및 처리: 별도의 스캐너 장비 없이 스마트폰 카메라를 통해 자재/설비의 QR(바코드)를 인식하고, 즉시 해당 정보 조회 화면으로 이동하거나 데이터를 입력하는 기능을 제공해야 한다.
○ 현장 사진 촬영 및 최적화: 현장에서 점검/보수 내역 작성 시 카메라를 호출하여 사진을 촬영하고, 서버 전송 용량 최적화(리사이징/압축) 후 즉시 첨부하는 기능을 제공해야 한다.
○ 위치 기반(GPS) 작업 통제: 작업자가 실제 현장에 도착했는지 확인하기 위해 GPS 좌표를 수집한다.(GPS 수집 대상 단말기와 대상은 구축시 협의)</t>
  </si>
  <si>
    <t>메뉴 목록 및 응용기능 차트,
메뉴 구성도,
화면설계서</t>
  </si>
  <si>
    <t>○ 기능위치마스터 관리
 - 계층(Hierarchy)형 구조의 기능 위치 관리 및 표시 기능
 - 기능위치 등록/수정 등 이력 관리 기능
 - 각 기능위치별 명칭, 코드, 속성, 설명 등의 관리 기능
 - 각 수준(Level)에 설비마스터 등록(배치)/수정 등 관리 기능
 - 기능위치마스터 중복 등록 방지 및 오류 방지 기능(AI 기술 활용 등 제안사 특화 기능 제시)
 - 설비마스터 등록(배치)/수정/삭제 이력 관리 기능
(CNR-002) - 19개 지사 공통 기능위치 및 개별 기능위치를 포함하는 기능위치 표준화 방안 제시</t>
  </si>
  <si>
    <t>○ 설비 BOM 관리
 - 설비를 구성하는 설비 BOM(자재마스터/자재패키지 및 구성 수량) 등록/수정/삭제 기능 및 이력관리 기능
 - 설비 BOM 생성 시, 동일 설비마스터 또는 유사 설비마스터의 설비 BOM 복제 기능
(CNR-002) - O/H(정기점검보수공사) 대상 설비마스터의 설비 BOM 구성, DB화 방안 제시 및 수행 용역 포함</t>
  </si>
  <si>
    <t>○ 스마트 도면관리
 - 동일 시스템에서 기능을 제공하거나, 별도 시스템으로 기능 제공 가능
 - 별도 시스템으로 기능 제공 시, 정보 연계 방안 제시 필수
 - 스마트 도면 內, 설비별 실시간 운전 정보 연계 방안 제시
 - 스마트 도면의 접근/조회(View)/편집(Edit)/정보수정 등에 필요한 계정 관리 및 권한 관리 기능 제공
 - 스마트 도면 조회/편집/정보수정 시, 추가 프로그램 및 플러그인 설치없이 웹 브라우저에서 모든 기능 사용 필수
 - 스마트 도면 外, 사용자가 등록한 기타 도면(비전산화 대상 도면) 관리 기능(최신도면제공 및 이력관리)
 - 스마트 도면의 태그를 활용한 설비마스터(설비명, 설비정보, 정비이력  등)  정보 연결, Red Tag 설계 기능
○ 전산화(지능화) 도면 外 건설 관련 도면 등 사용자가 선택한 dwg. pdf 도면에 대한 조회(View) 및 편집(Edit), 마킹 기능 제공 
 - 도면 Mark up 및 편집시 자주 사용하는 아이콘(밸브 닫힘, 열림, 차단기 조작 등)을 제공
○ PC 및 모바일 환경 지원
 - PC 및 모바일(지급형 태블릿)에서 스마트 도면 조회/편집/정보수정 기능 제공
 - PC : Microsoft Edge 브라우저에서 모든 기능 제공
 - 모바일(지급형 태블릿)에서 도면 접근 시, 우리 공사 MDM(Mobile Device Management) 프로그램 구동 필수
 - 모바일 : 기기의 종류 및 해상도에 따라 화면 배치(레이아웃) 등의 유동적 변경 기능
○ 타 플랫폼간 연계방안
 - 스마트 안전관리 플랫폼 정보 연계</t>
  </si>
  <si>
    <t>○ 도면 전산화(지능화)
 - PDF 또는 이미지 형식의 도면(대상 : P&amp;ID 및 SLD)에서 Tag No, 파이프, 펌프, 설비 BOM 등의 주요 정보 추출, 이를 스마트 도면으로 전환
 - 도면 전산화 기술(AI/OCR 등) 제시
 - 파일 형태의 관리가 아닌 DB 형태의 스마트 도면 관리 기능
 - 도면 전산화 중 발생한 오류/오차 등의 수정 기능
 - 향후 추가되는 신규 도면 등록 시, 스마트 도면으로 전환 가능하도록 사용자 맞춤형 기능 제공
○ 도면 전산화에 필요한 용역 비용 및 방법 제시
 - 대상 도면 수 : 5,000 장
○ 공사 현재 관리중인 비전산화 도면에 대한 관리방안 제시(파일 및 수정이력 관리 등)
(CNR-002) - Tag No, 설비 연관 정보, 설비 BOM(자재 리스트 및 수량), 기타 속성 및 단위 정보 등 추출 및 DB화</t>
  </si>
  <si>
    <t>○ 자재관리(열수송)
 - SAP 에서 관리하는 배관자재의 미터(M)단위 합계 관리 外, 개수(EA) 단위 개별 수량 관리 기능(1자재 1태그)
 - 연도별, 회차별, 지사별 열수송자재 정기발주 및 납품지시 관리 기능
 - 임시 자산 등록 후, 일괄 자산 취득 처리 기능
○ 자재관리(열수송 - 긴급자재보관소)
 - 우리 공사 및 긴급자재 협약사업자/협력사의 긴급자재보관소 자재조회 및 신청 관리 기능
 - 긴급자재 요청에 대한 긴급자재보관소 입·출고/전용/환입/불용 처리 등 우리 공사 처리 업무(전자결재/전자계약/SAP/한난맵 등) 연계 기능
 - 긴급자재 협약사를 위한 '외부망 접근환경' 구축 및 내부망 시스템과의 아키텍처를 명시해야 함</t>
  </si>
  <si>
    <t>○ 공사마스터 관리
 - 공사종류/기간/금액 등의 공사 일반정보와 공사오더로 구성된 공사마스터 관리 기능
 - 공사일반/공사비/추정가격/정산/설계변경/준공/기성/검수 등의 정보 관리 기능
 - 공사마스터와 연관된 공사오더에 공통 적용 가능한 항목(보증기간, 노임단가, 간접노무비 등) 관리 기능
 - 공사마스터 정보 관리 시, 연관된 공사오더 설계 정보 확인 편의성 제공
 - 제비율 관리 기능(법규/공사 등의 기준 전산화 및 선택)
 - 물가정보 관리 기능
 - 물가정보 및 제비율의 기준 시점 변경 시, 관련된 단가/제비율 일괄 적용 기능
 - 물가정보/제비율 변경 시, '적용 개시일(Effective Date)' 관리 기능을 두어, 해당 일자 기준 이전/이후 공사오더의 단가가 자동 분리 적용되도록 설계해야 함.
 - 공사 설계변경, 제비율 기준 변경 등 주요 정보 알림 기능
 - 공사오더의 금액을 활용하여 제경비 자동 산출 기능(사용자 지정 산출식 적용 등)
 - 공사마스터 미사용 처리 시, 공사마스터에 연결된 공사오더 미사용 처리 기능
 - 유사 공사마스터 설계 내역 복사 및 일부 정보 복사 기능
 - 정산/설계변경/준공검수내역확인 등 내부처리 업무 지원(전자결재/전자계약 등 연계 처리)
 - 공사마스터 변경 시, 변경 전·후 비교 기능
 - 공사오더 실적 기반 집행률/잔액계산 등 비용 정보 확인 기능(계약액 대비)
 - 공사마스터 변경 시, 기술정산서 관리 기능
 - 준공/기성 검사결과 및 검수자료(검사성적서, 사진 등) 관리 기능
 - 본사 통합발주(경상정비 공사, 판형열교환기, 유체커플링 등) 공사 설계 및 지사별 사후관리 기능 지원</t>
  </si>
  <si>
    <t>○ 공사오더 관리
 - 공사마스터에 속하는 공사오더 관리 기능
 - 공사오더 일반정보(설비마스터/설계자/보수/운영/정비부서/작업기간/작업등급/작업허가여부 등) 및 상세정보(공량/자재/경비/Red Tag 등) 관리 기능
 - 상세정보에서 작업항목/작업항목별 공량/자재/경비/Red Tag 등의 설계 기능 및 각 설계내역의 총 금액 자동 산출 기능
 - 기존 공사오더 설계 내역(공량/자재/경비설계 등) 전체·일부 복사 기능
 - 설비별 적합 설계 이력 추천/적용 기능(AI 기술 활용 등 제안사 특화 기능 제시)
 - 품셈 및 물가정보 관리 기능(전산화 및 조회/선택)
 - 경비 설계시 항목별 산출근거 자료 관리 및 총경비 금액 중 도급분/사급분 금액 자동계산 기능
 - 협력사별 견적 등록 기능(외부 접근)
 - 설비마스터에 기 등록된 Red Tag 정보 자동 연계 기능(수정 가능)
 - 설비마스터에 Red Tag 미등록 시, Red Tag 설계 이력 추천/적용 기능(AI 기술 활용 등 제안사 특화 기능 제시)
 - 필수 항목 누락, 수량/단가 입력 오류, 중복 품목 등록 등 사용자 입력 오류 검증 및 안내 기능
 - 설비마스터 다중 선택 후, 공사오더 등록 및 일괄 승인 처리 기능
 - 우리공사 표준시스템인 '스마트 안전관리 플랫폼'과 연계하여 안전작업허가서 관리</t>
  </si>
  <si>
    <t>○ 공사오더 - 작업결과 관리
 - 실작업기간/작업형태/작업내용/작업결과/수행사진/관련자료첨부 등 관리 기능
 - 작업결과는 승인 후 대상 설비의 정비 이력으로 자동 반영
 - 정기점검 주기 관리 및 차기 정기점검보수 일정 자동 등록 기능</t>
  </si>
  <si>
    <t>○ 공사오더 - 설계기준서 관리
 - 설비·설비군·기능위치에 적용 가능한 작업등급(A/B/C 등급 등)별 설계기준서 작성
 - 설계기준서에서 작업내용/작업절차/자재/공량/품셈 등의 정보를 관리
 - 신규 생성 시, 과거 동일/유사 설계이력을 조회/추천/적용 기능(AI 기술 활용 등 제안사 특화 기능 제시)
 - 공사용/예방정비용/경상정비용 등의 종류 구분 기능
 - 설계기준서의 버전관리 및 이전 버전과의 비교 기능
 - 공사 열원보수표준품셈을 반영하여, 설비마스터 內 DB화된 설비 용량에 따라 설계기준서의 용량을 적용한 설계기준서 자동생성 기능 제공</t>
  </si>
  <si>
    <t>○ 예방정비 관리
 - 예방정비 대상 설비 조회/신규 지정, 예방정비 작업오더 사전 설계, 일정 등록 및 작업오더 자동 발행 기능
 - 대상 설비 신규 등록 시, 동일 설비의 예방정비 작업오더 사전 설계 내역 조회 및 적용 기능 제공(AI 기술 활용 등 제안사 특화 기능 제시)
 - 자동 오더 발행 설정(예방정비 주기·오더자동생성조건·시행기준일·작업등급) 관리
 - 다수 설비 선택 후 동일 설계 내용 일괄 적용 기능
 - 기 등록 예방정비 대상 설비의 과거 정비 이력 정보 제공
 - 연도별 예방정비 시행 예정 설비리스트 자동 생성
 - 생성된 연도의 설비별 예방정비 일정 삭제/변경 가능해야 함
 - 예방정비 작업오더 자동 생성 후 담당부서/담당자 알림 기능 제공
 - 예방정비 일정표는 캘린더와 리스트로 제공, 엑셀 등 파일로 내보내기 지원
 - 예방정비 작업오더 종결 시, 작업실적 연계를 통한 정비이력 정보 제공 기능
 - 연도별 예방정비를 통한 중장기 유지보수 계획 및 실적 관리
 (CNR-002) - 과거 6개년 지사별 중장기 유지보수 계획을 DB화 하여 시스템 반영</t>
  </si>
  <si>
    <t>○ 법정검사 관리
 - 법정검사 대상 설비 조회/지정, 설비별 법정검사 신규등록 및 상세내용/실적, 관련 법조항 확인 기능 제공
 - 법정검사 항목별 시행/미시행 여부 선택 기능 제공
 - 법정검사 신규 입력 시, 검사주기, 검사시기, 기준일자 등록으로 검사일정 자동 생성 기능 제공
 - 법정검사 실적 조회 시, 검사 성적서, 검사결과보고서, 시정조치 확인서 등 첨부 자료 등록/조회/다운로드
 - 연도별/월별 법정검사 계획 및 실적 건수 집계/조회
 - 월별 검사 계획 리스트 조회 및 검사결과 입력 기능 제공
 - 월별 검사 실적 리스트 및 검사결과 조회 기능 제공
 - 예정일 임박, 실적 미입력, 법정 기한 만료 예정에 대한 알림 기능 제공</t>
  </si>
  <si>
    <t>○ 예방점검마스터
 - 예방점검 계획 수립 및 예방점검 등록/이력 조회 관리 기능
 - 예방점검 계획 수립 시, 예방점검 대상 설비 등록 및 점검 Check Sheet(점검항목, 점검기준)/점검주기 관리, 연간 일정 관리 가능 제공
 - 예방점검 항목별 시행/미시행 여부 선택 기능 제공
 - 예방점검 신규 입력 시, 일반정보(점검명, 점검주기, 담당부서 등) 및 대상 설비 리스트, 대상설비별 점검항목/점검 기준 등록·수정·저장 기능 제공
 - 동일 점검을 여러 설비에 일괄 추가 및 삭제 기능
○ 예방점검
 - 예방점검 일정 생성/조회 및 예방점검 결과 입력, 과거 점검 이력 조회 관리 기능
 - 예방점검 일정 생성 시, 연간 일정과 주간 계획 상호 연계
 - 예방점검마스터에서 설정한 점검주기에 따른 점검항목별 주단위(1주~52주) 연간 예방점검 일정 자동 생성
 - 예방점검마스터에서 설정한 점검 수행 요일 정보에 따른 주간 예방점검 일정 자동 생성
 - 요일별 등록된 점검 일정 목록 복사/붙여넣기 기능 지원
 - 주간 예방점검 일정표에서 점검 Check Sheet 조회/출력 및 일자별 점검결과 입력 바로가기 기능 제공
 - 점검결과 입력 시, 점검기준치 이탈에 대한 경고 알림 제공
 - 점검결과 입력 시, 점검 결과 불량 항목에 대한 작업지시서 생성 연계 기능 제공
 - 점검 결과 양호 항목에 대한 일괄 승인 요청 기능
 - 모바일에서 QR/바코드 스캔 기반 예방점검 일정 조회, 체크리스트 조회, 점검 결과 입력, 사진 첨부 기능 지원
 - 점검 이력 조회 시, 설비별/점검항목별 상세 결과 및 추이 그래프 제공
 - 일정 자동 생성 시 '공사 휴무일 및 대보수 기간 자동 회피' 로직과, 부서별 '주간 최대 점검 가능 건수(Capa)'를 설정하여 일정을 평탄화(Leveling)하는 알고리즘을 제안해야 함.
 - 예방점검 결과 입력 시, 'GPS 위치 및 QR 인증' 을 통해 실제 설비 근처에 있어야만 '완료' 버튼이 활성화되는 기능을 도입하여 허위 점검 원천 차단</t>
  </si>
  <si>
    <t>○ 작업통계 관리
 - 카테고리(작업, 공사, Red Tag, 예방점검)별 주요 지표 통계 조회·집계·분석 기능
 - 기간, 지사, 사업장, 설비군, 설비, 담당부서 등의 조건에 대한 다중 필터 조회·집계 기능
 - 주요 지표별 통계 데이터를 테이블 및 그래프로 제시 기능 제공
 - 주요 지표에 대한 정의, 산식 정보 표시(툴팁, 안내문 등) 기능
 - 주요 통계 지표별 전년동기/전월 대비 및 목표 대비 증감율 제공
 - 통계 수치 단위 변환(원/천원/백만원, 시간/일 등) 지원</t>
  </si>
  <si>
    <t>○ 고장통계 관리
 - 기간, 지사, 설비, 고장유형/고장모드, 고장원인, 중요도, 정비전략 등 조건에 따른 고장통계(표, 그래프 동시 제공)기능
 - 지표에 대한 정의, 산식 정보 표시(툴팁, 안내문 등) 기능
 - 주요 통계 지표별 전년동기/전월 대비 및 목표 대비 증감율 제공
 - 모든 차트/표는 엑셀 등 문서로 다운로드 및 출력 기능 제공</t>
  </si>
  <si>
    <t>○ TM 관리
 - TM 기본정보 및 상세정보(작업등급, 고장증상, TM 내용, 조치내용 등) 조회/관리 기능
 - 진행상태, 발행일자, 설비마스터, 고장코드 등 다중 필터 검색 기능
 - TM과 연계된 작업오더 조회 기능
 - TM 승인 건에 대한 작업오더 생성 기능
 - 현장에서 QR코드(또는 작업구역 QR북) 스캔을 통한 모바일 TM 발행 기능
 - 다수의 설비에 대한 TM 일괄 발행 기능
 - TM 발행 시, 선택 설비에 대한 고장정보 연계 및 자동 입력 기능
 - TM과 동일/유사 내용의 작업오더/고장속보(TM 미연결된) 기발행 여부 검색 및 연계 기능</t>
  </si>
  <si>
    <t>○ 결재 진행 중 결재선 수정 기능
○ 모든 결재자의 결재문서에 대한 의견 등록 기능
○ 결재가 완료되지 않은 문서의 최종승인 전에 회수 기능
○ 결재가 부재 시 대결자 관리 기능
○ 담당자 변경 시 이전 담당자의 업무 이력 공유 기능
○ 프로젝트 담당자 변경 시 결재라인의 자동 변경 기능
○ 결재 지연 발생 시 알림 기능
○ 문서별로 결재 후 회신 프로세스 적용 검토(참조용/승인용/건설용/준공용)</t>
  </si>
  <si>
    <t>○ 문서의 공람 기능
○ 해당 지사 직원의 해당 지사 내 프로젝트 문서 공람은 가능, 편집은 불가능
○ 건설처 직원의 모든 프로젝트 열람 가능 (편집 불가능)</t>
  </si>
  <si>
    <t>○ 모든 파일의 암호화되며, 정상적인 경로로 다운로드 시 복호화 기능
○ 파일 등록 시 승인자, 검토자, 통보자 지정 기능
○ 등록된 파일을 건설사, 설계사가 확인할 수 있도록 자동 배포 기능
○ 첨부파일의 개별 또는 일괄 업로드/다운로드 기능
○ 다운로드 이력 확인 기능
○ 다운로드 권한관리 기능</t>
  </si>
  <si>
    <t>○  대시보드는 [건설프로젝트, 건설자료실, 구축예정(BIM 설계), 현장기술지원(토건시설물)]으로 구성
○  건설프로젝트는 [진행 프로젝트]로만 구성
 - 진행 프로젝트는 아직 완료되지 않은 프로젝트들이며, 진행 프로젝트가 완료 처리되면 건설자료실로 이관되며(모드 이력관리)
 - AS -BUILT 도면만 스마트 도면 또는 설비마스터로 등록 및 자동 이관
 - 각 프로젝트 리스트는 건설지사 단위의 트리구조로 구성, 건설지사 클릭 시 해당 지사 하위 프로젝트가 나열되는 직관적인 리스트로 구성
 - 프로젝트 리스트 트리구조는 원하는 구성으로 수정가능
 - 특정 프로젝트 선택 시 해당 프로젝트의 메인화면 팝업으로 이동
 - 품질관리는 건설용으로 함, 지사 유지보수용은 별도 카테고리로 구성됨
○ 건설자료실은 [완료 프로젝트]로 구성
 - 지사별로 표기하며, 년도별로 표기 요망, 해당 건 클릭 시 팝업으로 업무 처리
○ 구축예정(BIM 설계) 는 추후 건설처 의견 반영후 구성
○ 현장기술지원(토건시설물)
 - 토건시설물은 건설관리부 토건시설물 유지보수 기술지원 시행에 해당하며, 
 - 기술지원(공법선정, 예상공사비, 예산협조 등) 요청 등록 및 기술지원서 의견 송부, 시설물 유지관리 기록대장으로 구성 (별도 양식 제공)
 - 품질관리는 지사 내 입회요청 및 입회결과로 구성 (별도 양식 제공)
    [(품질관리(건설용) 및 품질관리(건설용) -현황 내용 참조] -&gt; PIMS 에서 자동 연계</t>
  </si>
  <si>
    <t>○ 메뉴는 [프로젝트 정보, 협업, 사업관리, 품질실적관리, 프로젝트폴더]로 구성
○ 메뉴는 트리구조 메뉴가 직관적으로 나열
○ 프로젝트 정보는 [개요, 조직도]으로 구성
○ 협업은 [문서송부전/처리전, Submittal 의뢰서/의견서, 업무지시전/처리전, 현황]으로 구성
○ 사업관리는 [DCL Setup, EDCL, VDCL]으로 구성
○ 품질실적관리는 [입회신청서, 입회결과서, 현황]으로 구성</t>
  </si>
  <si>
    <t>○ 문서 등록/지연/처리기한 현황 조회 기능
○ 페이지 당 항목수 변경 기능
○ 수발신문서 속성 지정 및 Export 기능
○ 수발신문서 조건검색 기능</t>
  </si>
  <si>
    <t>○ EDCL, VDCL Detail Setup
 - 설계분야 및 Vender Print 성과품별 Document No., Name, Plan 설정하여 DCL 정의
 - 문서분류코드, 분야명, 문서번호, 문서제목, 문서크기, 업체명, Class, 제출계획일 등 입력 기능
 - 템플릿 Export/Import를 통한 입력 기능
 - 시스템에서 수정한 DCL을 Export/Import를 통한 입력 기능
 - DCL 조회/추가/수정/삭제/다중선택 등의 기능
 - DCL 삭제 시 결재 진행 중인 문서가 있는 경우 해당 문서의 정보 조회 기능
○ Revision
 - Revision Set(Revision No. Rule)을 추가/수정/삭제 기능
 - Revision Set에 Revision을 추가할 경우, Revision Set 지정 및 Revision No. 추가 기능
○ Stage
 - 성과품 제출 Stage를 정의하고, Stage별 Revision Set을 정의 기능
 - Revision Set에 Revision을 추가할 경우, Revision Set 지정 및 Revision No. 추가 기능
○ Class
 - Class를 추가/수정/삭제 기능
 - Class 추가 시 Type, 각 Stage의 지정 기능
○ Process Code
 - Process Code를 추가/수정/삭제기능
 - Process Code 추가 시 Code, Code Name, Weight의 지정 기능
(CNR-002) - 건설업무지침서에 맞게 DCL 표준화</t>
  </si>
  <si>
    <t>○ DCL(EDCL, VDCL) 지연 리스트 조회 기능
○ 지연 리스트의 Export 기능</t>
  </si>
  <si>
    <t>○ 현황
 - 도면 지연 리스트 조회 기능
 - 알람 기능 추가 - 자료 검토(14일, 토,일, 공휴일 산입하지 않고) 15일째부터 알람 ON
 - 지연 리스트의 Export 기능
○ 검토
 - PDF, Excel, Word, 한글 등으로 저장 기능
 - 페이지 이동, 확대, 텍스트 검색 기능
 - Real Time Annotate Collaboration 기능 추가
  · 단일 파일(성과물/VP) 동시에 검토의견 입력
  · 공통의견 한번 입력으로 전체파일에 반영, PDF로 출력
  · 검토의견을 TEXT 형태로 입력 / 실시간으로 입력창 생성</t>
  </si>
  <si>
    <t>○ 프로젝트 관리
 - 전자계약시스템과 연계하여 영업/계약 정보를 선택하여 프로젝트 생성 기능
 - 프로젝트 생성 시 템플릿을 선택하여 프로젝트에서 사용되는 폴더, 문서분류코드, STAGE, REV등 기본적인 정보 자동 설정 기능
 - 프로젝트 생성 시 기존 프로젝트를 참조하여 복사 기능
 - 프로젝트 생성 시 워크플로우 선택 기능
 -프로젝트 생성 시 설계회사, 지사, 건설사(시공사) 단독 또는 중복 등록 기능
 - 프로젝트명, 코드, 구분, 분야별 담당자, 배포처 설정, REV, 계약사, 계약일, 준공일 등 관리 기능
 - 프로젝트 진행현황 관리 기능
 - 문서 이력 관리 기능 (설계현황 및 진도, Revision 이력 등)
 - 분야별 DCL 현황 조회 기능
 - 프로젝트 종료 기능
 - 프로젝트 종료 시 타 시스템 연계를 통해 종료정보가 전달되며, 완료 프로젝트로 정리
○ 사용자 관리
 -프로젝트별 내부사용자 및 외부사용자 관리 기능
 - 내부사용자는 담당자 교체 시 이전 담당자의 업무 권한을 승계 받아 업무처리
 - 내부사용자와 프로젝트 폴더의 담당부서와 연동
 - 외부사용자는 해당 프로젝트의 프로젝트 폴더와 연동되어야 하며, 프로젝트 종료 시 외부사용자 계정은 사용중지 
○ 관련사/조직원 관리 (외부사용자)
 - 관련사/조직원의 조회/추가/수정/삭제/검색 등 기능
 - 관련사/조직원을 구분에 따른 추가 및 변경 기능(구분 없음, 계약상대자, 제조사, 설계사, 건설사, 기자재검사 등)
 - 템플릿 Export/Import를 통한 입력 기능
○ 프로젝트 폴더 관리
 -프로젝트 폴더의 추가/수정/이관/삭제 등 기능
 - 프로젝트 폴더는 표준 분류체계 내용대로 생성(OBS, FBS, PBS로 구성, 폴더구조는 FBS와 같은 형태)
 - 프로젝트 폴더 분류의 변경 기능
 - 생성된 프로젝트 폴더 내 VDLC(기자재도서), EDLC(설계도서)는 승인용, 건설용으로 구분
○ 설계계획서 설정
 - 설계 품질등급(1, 2, 3) 설정 기능(사업규모, 기간, 계약금액으로 자동설정 및 변경 가능)
 - 타 프로젝트의 속성의 복사 구성 기능
 - 설계성과물 Revision, Stage, Progress Code 설정 기능
 - 검토단계별 최소 검토일자 설정 기능
 - 설계성과물 리스트 개별 추가/수정/삭제 기능
 - 템플릿 Export/Import를 통한 설계성과물 입력 기능
 - 설계 준수사항 공지 기능
 - 작성 완료 후 검토 확인 요청 기능
 - 설계계획서 분야별 세부 확인 및 의견등록 기능
 - 설계계획서 분야별/일자별/타입별 등의 검색 기능
 - 최종수정일을 자동 체크 기능 (분야별 수시변경 가능)
 - 설계계획서 인쇄 기능(표준양식에 의한 설계계획서, 분야별 DCL 리스트)
○ 조직/제출목적/검토결과의 추가/수정/삭제 기능
○ 배포처 설정
 - 템플릿 Export/Import를 통한 입력 기능
○ 프로젝트 생성 템플릿 번호체계 (업무지시전, 문서처리전, Submittal, 품질관리) 추가/수정/삭제 기능
○ 속성, 사업소, 문서분류, 품질기자재, 품질부적합, 품질검사항목 등 코드관리 기능
○ 워크플로우는 프로젝트별로 다르게 적용</t>
  </si>
  <si>
    <t>○ 도서 검토의견에 대한 업체의 수정사항 반영결과의 기록 및 조회 기능
○ 검토의견에 대한 미반영 현황과 처리 결과의 Version 단위 조회 기능
○ 검토의견 작성 시, 검토의견 이력정보의 제공 및 확인 기능</t>
  </si>
  <si>
    <t>○ 첨부파일 중 도면 열람은 서버에 있는 파일을 로컬 PC로 다운받지 않고 계약상대자가 제공하는 첨부 Viewer로 열람 가능
○ 첨부 Viewer에서 검토 의견을 Markup(선, 텍스트, 도형입력 등)으로 표현
○ 첨부 Viewer에서 워터마크 표시 기능
○ 문서 출력 시 출력 화면에 정보(출력자, 출력일시 등)의 표시
○ 첨부 Viewer에서 텍스트를 색인하여 관련 자료의 검색 기능</t>
  </si>
  <si>
    <t>○ 외부 접근 제한
 - 외부 접근 시, 권한에 따라 메뉴/정보조회 등의 기능 제한 관리 기능
 - 외부 접근은 PC 환경과 모바일 앱(이하, 모바일)에서 가능하며, 우리 공사 보안 규정(OTP / MDM 등) 준수
 - 우리 공사 직원의 외부 접근(PC/모바일)은 OTP 로 로그인 처리
 - 협력사 직원의 외부 접근(PC/모바일)은 시스템에서 1일 접근 코드를 생성 후 휴대폰 문자로 전송
 - 협력사별 대표 계정을 관리하고, 대표 계정으로 협력사의 사용자 계정 관리
○ 사용자 권한 설정 제시
 - 시스템에 보관되어 있는 각종 데이터와 사용자 인증정보의 올바른 보관과 활용을 위해 자료의 검색 및 조회에 대한 접근 권한을 규정하여 관리할 수 있어야 함
 - 사용자(내·외부)를 분류하여 등급 및 역할에 따라 정보 공개 및 접속 권한 여부를 설정하도록 함
 - 보관되어 있는 각종 데이터와 사용자 인증정보의 올바른 보관과 활용을 위해 자료의 검색 및 조회에 대한 접근 권한을 규정하여 관리되어야 함
○ 사용자 접근제어
 - 업무기능별로 사용자 권한부여가 가능하도록 개발되어야 함
 - 사용자 권한에 따른 데이터 접근범위 제한(권한관리)하여야 함</t>
  </si>
  <si>
    <t xml:space="preserve"> ○ 정보누출금지 
 - 사업수행기간 중 '국가정보보안 기본지침', 우리공사의 '정보보안규정' 등 정보보호 관련 법규 준수
 - 용역수행사(하도급사 포함)의 우리 공사 보안정책 위반 시, 위반처리 기준에 따라 위반자 및 관리자를 조치하고, 보안위약금 부과 기준에 따라 공사가 부과한 보안 위약금을 납부해야 함
 - 사업 수행에 사용되는 문서, 인원, 장비 등에 대한 물리적, 관리적, 기술적 보안대책 및 ‘누출금지 대상정보’에 대한 보안관리계획 사업수행계획서에 기재 
 - 정보 누출 시 공사는 국가계약법 시행령 제76조에 따라 사업자를 부정당업체로 등록처리 함
 - 사업 수행과정에서 취득한 자료와 정보에 대해 사업수행 중 및 사업 완료 후 외부 유출을 금지하고, 사업종료 시 정보보안담당자의 입회하에 완전 폐기 또는 반납함
 - 정보누출금지 대상 정보는 다음과 같음
 ○공사 소유 정보시스템의 내ㆍ외부 IP주소 현황
 ○세부 정보시스템 구성현황 및 정보통신망 구성도
 ○사용자계정ㆍ비밀번호 등 정보시스템 접근권한 정보
 ○정보통신망 취약점 분석·평가 결과물
 ○용역사업 결과물 및 프로그램 소스코드
 ○국가용 보안시스템 및 정보보호시스템 도입 현황
 ○침입차단시스템ㆍ방지시스템(IPS) 등 정보보호제품 및 라우터ㆍ스위치 등 네트워크 장비 설정 정보  
 ○「공공기관의 정보공개에 관한 법률」제9조제1항에 따라 비공개 대상 정보로 분류된 공사 내부문서
 ○「개인정보보호법」제2조제1호의 개인정보
 ○「보안업무규정」제4조의 비밀 및 동 시행규칙 제7조제3항의 대외비
 ○ 그 밖에 사장이 공개가 불가하다고 판단한 자료</t>
  </si>
  <si>
    <t>○ 보안위규 사항 - 심각 (처리기준 : 사업참여 제한, 위규자 중징계, 재발방지 조치계획 제출, 위규자 대상 특별보안교육 실시)
 - 비밀 및 대외비 급 정보 유출 및 유출 시도 : 정보시스템에 대한 구조, 데이터베이스 등의 정보 유출 / 개인정보 및 신상정보 목록 유출 / 비공개 항공사진 및 공간정보 등 비공개 정보 유출
 - 정보시스템에 대한 불법적 행위 : 관련 시스템에 대한 해킹 및 해킹 시도 / 시스템 구축 결과물에 대한 외부 유출 / 시스템 내 인위적인 악성코드 유포
○ 보안위규 사항 - 중대 (처리기준 : 위규자 중징계, 재발방지 조치계획 제출, 위규자 대상 특별보안교육 실시)
 - 비공개 정보 관리 소홀 : 비공개 정보를 책상 위 등에 방치 / 비공개 정보를 휴지통ㆍ폐지함 등에 유기 또는 이면지 활용 / 개인정보ㆍ신상정보 목록을 책상 위 등에 방치 / 기타 비공개 정보에 대한 관리소홀
 - 사무실ㆍ보호구역 보안관리 허술 : 통제구역 출입문을 개방한 채 퇴근 등 / 인가되지 않은 작업자의 내부 시스템 접근 / 통제구역 내 장비·시설 등 무단 사진촬영
 - 전산정보 보호대책 부실 : 업무망 인터넷망 혼용사용, 보안 USB 사용규정 위반 / 웹하드·P2P 등 인터넷 자료공유사이트를 활용하여 용역사업 관련 자료 수발신 / 개발·유지관리 시 원격작업 사용 / 저장된 비공개 정보 패스워드 미부여 / 인터넷망 연결 PC 하드디스크에 비공개 정보를 저장 외부용 PC를 업무망에 무단 연결 사용 / 보안관련 프로그램 강제 삭제 / 사용자 계정관리 미흡 및 오남용(시스템 불법접근 시도 등)
○ 보안위규 사항 - 보통 (처리기준 : 위규자 중징계, 위규자 사유서ㆍ경위서 징구, 위규자 대상 특별보안교육 실시)
 - 공사 제공 중요정책ㆍ민감 자료 관리 소홀: 주요 현안ㆍ보고자료를 책상위 등에 방치 / 정책ㆍ현안자료를 휴지통ㆍ폐지함 등에 유기 또는 이면지 활용 
 - 사무실 보안관리 부실 : 캐비넷ㆍ서류함ㆍ책상 등을 개방한 채 퇴근 / 출입키를 책상위 등에 방치
 - 보호구역 관리 소홀  : 통제ㆍ제한구역 출입문을 개방한 채 근무 / 보호구역내 비인가자 출입허용 등 통제 미실시
 - 전산정보 보호대책 부실 : 휴대용저장매체를 서랍ㆍ책상 위 등에 방치한 채 퇴근 / 네이트온 등 비인가 메신저 무단 사용 / PC를 켜 놓거나 보조기억 매체(CD, USB 등)를 꽂아 놓고 퇴근 / 부팅ㆍ화면보호 패스워드 미부여 또는 "1111" 등 단순숫자 부여 / PC 비밀번호를 모니터 옆 등 외부에 노출 / 비인가 보조기억매체 무단 사용
○ 보안위규 사항 - 경미 (처리기준 : 위규자 서면ㆍ구두 경고 등 문책, 위규자 사유서ㆍ경위서 징구)
 - 업무 관련서류 관리 소홀 : 진행중인 업무자료를 책상 등에 방치, 퇴근 / 복사기ㆍ인쇄기 위에 서류 방치
 - 근무자 근무상태 불량 : 각종 보안장비 운용 미숙 / 경보ㆍ보안장치 작동 불량 
 - 전산정보 보호대책 부실 : PC내 보안성이 검증되지 않은 프로그램 사용 / 보안관련 소프트웨어의 주기적 점검 위반</t>
  </si>
  <si>
    <t>○ 보안 위약금 부과 기준
 - 위규 수준별 A~D 등급 차등 부과
 - A급 : 심각 1건 (부정당업자 등록) / B급 : 중대 1건 (계약금의 10% 이하) / C급 : 보통 2건 이상 (계약금의 5% 이하) / D급 : 경미 3건 이상 ( 계약금의 2% 이하)
 - 보안 위약금에 대한 사항은 다른 요인에 의해 상쇄 및 삭감 할 수 없도록 부과 (타 항목과 별도 부과)
 - 사업 종료 시 지출금액 조정을 통해 위약금 정산</t>
  </si>
  <si>
    <t>○ 보안사항
 - 정보누출금지 관련 「보안서약서」를 착수계 제출 시 포함하여 제출
 - 사업 착수 후, 용역수행사 대표 및 참여기술자는 즉시 정보누출금지 관련 보안교육을 받은 후 사업 수행
 - 참여기술자의 변경 등이 있는 경우, 보안서약서 제출 및 보안교육을 받은 후 참여
 - 과업수행계획서의 보안대책사항에는 비밀정보의 범위, 보안준수 사항, 자료의 반환 등의 내용이 포함되어야 함
 - 용역수행사가 하도급 계약을 체결할 경우 본 용역계약 수준의 비밀 유지하는 조항 포함
 - ‘누출금지 대상정보’를 공사에 요청할 경우, ‘자료관리 대장’에 인계자ㆍ인수자 서명 후 제공받고 용역완료시 관련 자료 반납
 - 관련자료 및 사업과정에서 생산된 산출물을 우리 공사의 파일 서버에 저장 또는 공사가 지정한 PC에 저장ㆍ관리해야 함
 - 용역 관련 자료는 인터넷 웹하드ㆍP2P 등 인터넷 자료공유 사이트 및 개인메일함에 저장을 금지함
 - 우리 공사와 용역수행사간 전자우편을 이용해 자료전송이 필요한 경우, 첨부자료 암호화 후 수발신(단, 대외비 이상의 비밀은 전자우편 수발신 금지)
 - 우리 공사가 제공한 사무실에서 용역을 수행할 경우, 제공한 비공개자료는 매일 퇴근시 반납하고, 일반문서는 제공된 사무실에 시건장치가 된 보관함이 있을 경우 이에 보관 가능
 - 본 용역사업 수행으로 생산되는 산출물 및 기록은 공사가 인가하지 않은 비인가자에게 제공ㆍ대여ㆍ열람 금지
 - 공사는 용역 업무를 수행하는 공간에 대한 정기적 보안점검 실시할 수 있음
 - 용역수행에 필요한 노트북 등 관련 장비 외부 반출입시마다 악성코드 감염여부 및 자료 무단반출 여부를 확인받아야 함
 - 인가받지 않은 USB 등의 휴대용 저장매체 사용 금지
 - 산출물 저장을 위해 휴대용 저장매체가 필요한 경우, 공사의 승인하에 사용 가능</t>
  </si>
  <si>
    <t xml:space="preserve">
○ 망 접근 보안 관리
 - 용역수행사가 사용하는 전산장비는 사내 보안정책을 동일하게 적용함
 - 부팅 비밀번호, 윈도우 비밀번호, 화면보호기 비밀번호 등 비밀번호 9자리 이상 혼합 설정 및 분기별 1회 변경
 - 최신 백신프로그램 설치를 통한 주기적 검사 및 실시간 감시기능 사용
 - 사이버보안 진단의 날 “내PC지킴이” 실행을 통한 취약점 조치를 해야 함
 - 사내 상시 인력은 데스크탑을 사용하고, 용역 종료시까지 반출은 불허함
 - 용역수행사가 사용하는 PC는 인터넷 연결을 금지하되, 사업수행상 연결이 필요한 경우 공사의 보안통제하에 제한적으로 허용 가능
 - 본 용역사업을 수행하는 정보통신망에서는 P2P, 웹하드 등 인터넷 자료공유 사이트로의 접속 불가
○ 구간 암호화 개념 정의
 - 사용자 PC부터 웹서버구간 간 암호화방식을 적용하여 구현하여야 함
 - 정보시스템 로그인 시 정보통신망으로 전송되는 중요정보(아이디, 패스워드와 같은 로그인 정보 및 주민등록번호 등)에 대해 스니핑 등의 위협 으로부터 보호하기 위하여 SSL, TLS 등 네트워크 구간 암호화 조치 수행 하여야 함
○ 시스템 간 자료 교환 시 기밀성, 무결성, 접근제어 등을 보장하여야 함
 - 침입차단서버와 관리자PC 간 통신 시 구간 암호화, 무결성을 제공하고 관리자 IP를 등록하여 관리자PC에서만 서버에 접근 가능
 - 침입차단서버와 센서 간 통신 시 구간 암호화, 무결성을 제공
○ VPN 외부연동 보안 개념 정의
 - 외부망에서 업무시스템 접속시에는 VPN 방식 사용하므로 이를 고려하여 시스템을 구축하여야 함
○ VM 외부연동 보안 개념 정의
 - VM(장비 또는 소프트웨어)를 이용하여 외부망에서 업무시스템 접속 시에는 이를 고려하여 시스템을 구축하여야 함
○ 전송자료 암호화 개념 정의
 - 대외 연계서버와 대외기관 중계 서버 간에는 전송되는 자료는 서버용 전송자료 암호화를 적용하여 전송하여야 함
○ 서비스 이용자와 서버구간 정보 전송시 암호화 조건
 - 중요정보에 대해 스니핑 등의 위협으로부터 보호하기 위하여 SSL 등 네트워크 구간 암호화 조치를 수행하여야 함
○ 연계 데이터의 암호화
 - 관련 데이터 송수신 시 국가 표준 암호화알고리즘 등을 적용하여 데이터 암호화 및 복호화를 수행해야 함
○ 연동 보안 일반 개념 정의
 - 연계서버와 업무서버 영역 간에는 사전 정해진 데이터 형식만 전달 하도록 함</t>
  </si>
  <si>
    <t>○ 패스워드, 주민번호 등 각 기능에서 명시된 [중요 데이터]는 반드시 암호화하여 DB에 저장하고, 일반 사용자는 직접 DB 접근을 할 수 없음
○ 사용자 인증정보, 주민등록번호, 패스워드 등 보안이 요구되는 정보를 소스코드에 직접 하드코딩 하지 않아야 함
 - 장비 접속 시 사용자 인증을 수행해야 함
 - 비밀번호는 발주기관의 정책을 준수해야 함
○ 사용자계정 접근 관리 개념 정의 
  - 사용자를 등급 및 역할에 따라 분류하고 정보 공개 및 접속 여부 설정 가능
  - 센터/부서/권한별 그룹설정 등 사용자 계정 형태의 권한 관리 기능 필요 
  - 시스템 관리자 계정은 별도로 부여하며 인사이동 등으로 관리자가 변경될 경우 기존 관리자가 신규 관리자를 등록할 수 있도록 구현 
  - 외부사용자용 등록, 권한부여, 조회화면 기능 개발 
  - 보안 및 개인정보 보호를 위한 사용자 접근 및 정보 수정에 대한 로그 기록 및 확인 기능 필요 
  - 계약상대자는 정보시스템 사용자 계정 이용 시, 부여된 권한 이외 접근을 불허하며 부여된 패스워드는 임의 변경 및 타인에게 불허 
○ 클라이언트에 인증정보 및 세션정보를 저장하지 않는 것을 원칙으로 하고, 클라이언트에 저장할 경우 암호화 등 보호방안을 수립
○ SSO 인증 요구사항
 - 로그인 한번으로 전체 시스템을 사용할 수 있도록 통합인증 체계 구축
 - SSO는 ID/PW 및 PKI 인증을 지원
 - SSO는 권한관리시스템과 연계하여 사용자 권한설정을 지원
 - SSO는 내부 사용자 SSO와 외부 SSO를 구분하여 구축
 - 신규 SSO는 기존의 사용자 정보를 이용, 사용자에 대한 통합 인증 수행
 - 사용자 인증정보는 암호화 통신을 해야 하며 국제 표준 및 국가기관용 암호알고리즘을 지원
○ 정보시스템 로그인에 대한 보안조치 수행
 - 로그인 실패 횟수가 5회 이상시 접속을 제한
 - 다수가 동시에 동일한 사용자 계정으로 로그인하지 못하도록 동시 로그인 차단
○ 회원그룹 및 권한 여부에 따른 로그인 정책 및 인증방식 적용
 - 사용자를 분류하여 등급 및 역할에 따라 메뉴 및 기능이 다르도록 구현
 - 접속 계정은 IP or MAC 주소 기반으로 접근이 가능하도록 구현
 - 유휴 계정 정리 및 불법침입 방지</t>
  </si>
  <si>
    <t>취약점 진단 수행 결과서,
시큐어 코딩 점검 결과서</t>
  </si>
  <si>
    <t>○ 패스워드, 주민번호 등 각 기능에서 명시된 [중요 데이터]는 반드시 암호화하여 DB에 저장하고, 일반 사용자는 직접 DB 접근을 할 수 없음
○ 클라이언트에 인증정보 및 세션 정보를 저장하지 않는 것을 원칙으로 하고, 클라이언트에 저장할 경우 암호화 등 보호 방안을 수립
○ 첨부파일 등 개인정보를 비정형데이터에 대한 암호화 지원 및 적정한 권한자만 조회/활용할 수 있도록 구현
○ DBA (DB관리자)
 - 데이터베이스관리자를 따로 지정하여 데이터베이스 관리
 - DB 사용자를 등록하고 적절한 역할(Role)과 권한(Privilege) 부여
 - DB 사용자의 임의 접근을 차단하고, 접근을 허가한 경우라도 신청자의 업무와 관련된 DB에로의 접근만 허가
○ DB 사용자
 - DB Application사용자는 정당한 사유 없이 서버 Prompt에 접근금지
 - 업무상의 이유로 DB에 접속할 경우라도 반드시 DBA의 허가 필요
○ DB 저장 시 보안이 필요한 필드는 암·복호화
 - 적용 대상 : 암호화되어 저장해야 할 보안 필드
 - 적용 방안 : DB 보안솔루션 활용 또는 별도의 모듈로 암·복호화
○ 암호화 대상
 - DB서버 내 중요 개인정보(고유식별정보, 비밀번호) 등
 - 개인정보에 대한 접근 이력을 관리하여야 함
○ 프로그램(및 시스템) 및 DB보안
 - 발주기관의 시스템 관리자를 제외하고는 DB에 직접 접근 할 수 없다.
 - 사용자 인증정보, 패스워드 등은 소스코드에 직접 하드코딩 하지 않고 전송 중에 암호화되어 해킹 등에 노출되지 않도록 하여야 한다.
○ DB 및 APP 서버 접근제한
 - DB 및 APP 서버는 기본적으로 일반사용자의 임의 접근을 제한한다.
 - 접근을 허가한 경우라도 업무와 연관된 DB 및 APP 서버만 접근 허가가 가능하다.
 - 모든 DB 및 APP 서버의 접근은 관리자의 허가를 득한 후 사용가능하다</t>
  </si>
  <si>
    <t>DB암호화 점검 결과서</t>
  </si>
  <si>
    <t>○ 개인정보를 다루는 프로세스는 다음의 사항을 고려하여 설계 및 구현
○ 개인정보 생애 주기 단계
 - 개인정보 항목 도출 (업무설계 시) 단계에서의 관리 방안
 - 수집 (생성/제공) 단계에서의 관리 방안
 - 이용/저장 단계에서의 관리 방안
 - 제공/위탁 단계에서의 관리 방안
 - 파기 단계에서의 관리 방안
○ 세부 이행 내역은 본 기관과 개인정보/보안/업무 담당자 협의하여 정의
○ 개인정보 보호 개념 정의
 - 각 기능에 명시된 개인정보(이름, 사번 등)는 반드시 암호화하여 DB에 저장
 - 관리자인 경우에도 화면에 해당 정보를 그대로 노출 불가
○ 개인정보보호 강화를 위한 솔루션 적용 및 암호화 방안
 - 실명인증 또는 공공 I-PIN, 회원가입에 의한 로그인 및 회원정보 관리 시 구간 암호화(SSL) 적용
○ 소프트웨어 개발보안 준수(홈페이지 SW(웹) 개발보안 가이드라인)
○ 개인정보 안정성 확보조치
 - 접근통제 및 접근권한 제한(관리자 계정 공유금지, 안전한 비밀번호)
 - 개인정보 암호화 관리 및 모든 데이터는 표준코드 사용
 - 접속기록 보관 : 기본 2년 주기 삭제, 업무별 1년, 6개월, 3개월 차별화
 - 보안프로그램 설치 : 소스코드 보안 솔루션을 이용한 모든 웹 어플리케이션 보안약점 점검(쿠키나 세션을 이용한 정보 저장 시 암호화된 데이터이 용)
 - 개인정보제공 동의 시 선택사항, 필수사항 구분
 - 시스템 보안성을 충분히 감안하여 해킹 차단, 개인정보보호 기술을 적용하여 구축하며, 기존 웹 서비스 속도에 영향이 미치지 않도록 설계
 - 웹 보안성을 위해 프로그램(코드부분)과 데이터 영역(게시물, 첨부물 등)을 엄격히 분리 개발
 - 데이터 및 장비의 무결성 및 가용성 유지를 위해 백업정책에 참여하고 사고 발생 시 적시에 복구할 수 있도록 지원
○ 개인정보 보호대책 및 강화 방안 제시
 - 등록회원의 개인정보 보호를 위한 방안을 마련하고, 시스템으로 지원이 가능하도록 구축하고, 개인정보는 반드시 암/복호화 하여 사용
 - 개인정보 보호관련 법규, 지침, 소프트웨어 개발보안 준수
 - 개인정보 암호화 관리 및 모든 데이터는 표준코드 사용
 - 시스템 보안성을 충분히 감안하여 해킹 차단, 개인정보보호 기술을 적용하여 구축, 기존의 웹 서비스 속도에 영향이 미치지 않도록 설계
 - 모든 개인정보 유출방지를 위한 암호화 기능 구현 및 DB암호화 저장
 - 데이터 및 장비의 무결성 ACL 가용성 유지를 위해 백업정책에 참여하고 사고 발생 시 적시에 복구할 수 있도록 지원</t>
  </si>
  <si>
    <t>○ Web 방식의 구현방법은 보안웹서버(https://)로 구현 
○ 조회 총괄 화면에서 개인정보로 식별된 정보가 표시되지 않도록 함
○ 테스트 DB 및 목표 시스템 DB에 개인정보 데이터는 암호화하여 저장하고 필요시 복호화
○ 사용자 인증 정보, 주민등록번호, 계좌번호, 패스워드 등 주요 민감정보는 소스코드에 직접 하드코딩 하지 않도록 함
○ 외부 정보시스템과 연계하여 데이터를 송ㆍ수신할 때 데이터의 암호화 및 기록에 대한 보안방안을 제시하고 구현
○ 공공기관 개인정보보호에 관한 법률에 의거 개인정보보호지침을 준수하여야 함
○ 보안 기술 적용 개념 정의
 - 보안요구사항 및 시스템간의 관련성을 분석하고 적용할 보안기술, 표준, 제안 방안 등을 구체적으로 제시
○ 사용자, 업무부서, 시스템 권한 관리를 해야 함
○ 계정 및 메뉴그룹 매핑 관리를 해야 함
○ 관리자의 사용자계정 및 암호 등 권한 관리 및 보안 기능이 되어야 함
○ 사용자(내/외부)의 작업 종류(열람, 출력 등), 작업 시간(로그 온/오프)등을 기록·저장 (1년 이상) 하고 공사 보유 통합로그시스템과 연계하여 관리하여야 함
○ 본 사업의 보안성 검토 결과에 대한 보안성 조치를 완료하여야 함
 - 서비스 오픈 전 국정원 보안성 검토 결과 반영
○ 페이지 보안 개념 정의
 - 관리자 페이지에 SQL인젝션, 크로스사이트스크립팅, 웹 쉘 업로드, 임의파일 다운로드 등의 웹 취약점이 없어야 함
 - 관리자를 위한 별도의 클라이언트 프로그램을 제공할 경우 악용 가능한 취약점이나 기능이 없어야 함
○ 웹페이지 보안에 관한 사항
 - SQL인젝션, 크로스사이트스크립팅, 웹 쉘 업로드, 임의파일 다운로드, 디렉토리 리스팅 등의 웹 취약점이 없어야 함
 - 관리자를 위한 별도의 클라이언트 프로그램을 제공할 경우 악용 가능한 취약점이나 기능이 없어야 함
○ 서버(장비) 보안을 보장하여야 함
 - 서비스에 필요한 데몬만 구동해야 함
 - 침입차단 서버에(Appliance) 설치된 OS 및 데몬은 알려진 취약점에 대한 보안 패치가 적용되어야 함
 - 서버점검항목에서 취약한 항목이 발생하지 않도록 보안설정이 되어야함</t>
  </si>
  <si>
    <t>데이터베이스정의서, 엔터티(개체)정의서, 애트리뷰트(속성)정의서, 데이터모델다이어그램정의서(개념·논리·물리), 테이블정의서(SMETA 활용), 컬럼정의서(SMETA 활용)</t>
  </si>
  <si>
    <t>○ 데이터 이관 계획 수립
  - 정보시스템의 데이터 특성을 고려하여 데이터 이관 방안(범위, 절차, 시기, 환경, 순서, 전략 등)을 계획하여야 함
    * 이관 우선순위 : 코드 데이터 이관 후 트랜잭션 데이터 이관 등
    ** 이관 방식 : 일괄 이관 또는 점진적 이관 등
  - 이관 데이터 GAP 분석과 데이터 매핑의 정의, 데이터 정제 및 백업과 복구 방안 수립에 대한 산출물을 포함하여야 함
  - 민감 데이터(개인정보 등)에 대한 정보보호 확보방안을 포함하여야 함
○ 이관 데이터 정제방안 수립
  - 원천 데이터 정제작업 수행 시 이관 데이터 정제작업에 대한 내용을 포함해야 함
    * 원천 데이터 정제방안 : 수작업, 데이터 매핑을 통한 규칙 적용, 프로그래밍 등
    ** 이관 데이터 정제방안 : 건별 수작업, 수정삭제재생성 등
○ 이관 데이터 정합성 검증
  - 여러 차례의 단계별 테스트를 수행하여 이관 작업 간 발생할 수 있는 모든 위험 요소를 발견·제거하고 이관 작업을 수행하여야 함
  - 매핑 정의서의 매핑 규칙에 맞게 이관되었는지 검증하여야 함
  - 기존 시스템의 값과 목표시스템의 값에 대한 정합성을 검증하여야 함
  - 단계별 이관 데이터 정합성 검증을 통하여 목표시스템 데이터의 무결성 보장방안을 제시하여야 함</t>
  </si>
  <si>
    <t>○ 비정형 데이터(도면/이미지) 구축 요건
 - 디지털 문서(텍스트형 PDF, 한글 등): 텍스트를 추출(Parsing)하여 문단 단위로 벡터 DB화 할 수 있도록 구조화 하여야한다.
 - 이미지/수기 도면(스캔파일 등):
 - OCR 인식률이 낮은 수기 도면은 무리한 텍스트 변환을 지양하고, 대신 AI가 식별 가능한 수준의 '상세 메타데이터'를 태깅하여 DB화해야 한다.
 - 필수 태깅 항목: 설비명, 설비코드(Tag No), 도면유형(P&amp;ID, ISO 등), 작성일자, 주요 부품명, 지사명 등
 - 파일명이 아닌, 시스템 내 메타데이터 테이블과 파일을 1:1로 매핑하여, 향후 AI가 메타데이터를 통해 해당 설비도면을 호출할 수 있도록 구조화해야 한다.</t>
  </si>
  <si>
    <t>정보화사업 현황보고서</t>
  </si>
  <si>
    <t>○ 품질관리
 - 계약상대자는 계약상 규정된 바에 따라 우리 공사에 제공 또는우리 공사에 의해 이용된 지적재산권(특허, 저작권 등)이나 공정 등이 제3자의 지적재산권을 침해하지 않을 것을 보증해야 함
 - 수행사, 사업자 또는 하도급자가 제3자의 지적재산권을 침해하였거나, 침해하였다는 주장에 의해 우리 공사 또는 사업자를 상대로 제기된 소송, 기타의 분쟁, 클레임 등에 대해 계약상대자의 책임과 비용으로 대응하여야 함
 - 계약상대자는 과업 수행과정에서 사용한 각종 기준 및 요건을 기술하고 근거자료를 제시하여 과업 성과물을 작성, 개정, 발행
 - 품질보증을 위한 품질관리 조직, 품질보증의 범위, 점검 절차 방법 등이 포함된 품질보증계획 수립 및 품질관리 계획서(과업수행계획서에 포함) 제출
 - 사업자는 별도 품질관리 담당을 지정해야 함
 - 품질관리 담당 조직의 품질보증 활동계획 및 형상관리 계획 제시
 - 정기적인 품질관리 활동을 수행하여야 함
 - 일정지연, 품질저하에 따르는 예산초과 등 리스크 발생에 대한 사전 예방 및 발생 시 대처방안 제시</t>
  </si>
  <si>
    <t>품질관리 계획서
(데이터 품질진단계획서)</t>
  </si>
  <si>
    <t>○ 품질관리 일반요건
 - 시스템의 안정성과 신뢰성 확보, 장애시간의 최소화를 위해 기본적인 장애진단, 장애복구, 장애대책 기능을 제공하여야 함
 - 물리적/논리적 장애복구, 유지관리지원 서비스 체계를 구축하여야 함</t>
  </si>
  <si>
    <t>○ 시스템 연계(공통)
 - 우리공사 SSO(Policy Server / Safe Agent / 인증 토큰) 방식 지원
 - 조직 정보는 인사DB 연계·활용
 - 연계한 인사DB의 조직 정보 外, 사용자별 보직, 과 등의 설정 기능
 - 전자결재 / 전자계약 / SAP 와 연계해야 하는 업무는 사용자가 시스템 간 이동없이 모든 연관 업무를 본 시스템에서 등록·수정·조회 실시간 연계
. [일반 업무 연계] 전자결재 연계 : 87 건, 전자계약 연계 : 30 건, SAP 연계 : 61 건
. [수입 업무 연계] 전자결재 연계 9 건, SAP 연계 15 건
. [수출 업무 연계] 전자결재 연계 2 건, SAP 연계 9 건
. 연계 업무 대상은 사업 진행 시, 축소/확대될 수 있음)
. 전자결재 시스템 : 나눔기술 Smart Portal &amp; Smart Flow, 전자계약 시스템 : 엠로 Smart Suite, ERP : SAP ECC 6.0, 한난맵 : 브이엔지, 스마트안전 : 리스크제로
 - 전자결재 시스템 연계·처리 시, 전체 진행 단계 중 현재 단계, 첨부 문서 확인 기능 제공
 - 전자계약 시스템 연계·처리 시, 처리 상태, 진행 단계 등의 정보를 계약 건별 확인 기능 제공
○ SAP 연계
 - SAP 와 연계·처리 시, 우리 공사 SAP 연계 표준 준수 필수
 - SAP ERP(MM, FI/CO) 연동 시 단순 수량 증감을 넘어 회계전표 생성을 위한 정합성 검증 로직 포함 및 인터페이스에 실패한 재처리 모니터링 UI 제공
○ 공사 제공 상용SW(DRM, 리포팅 툴 등)의 인터페이스 구현 및 설치·운영 기술지원 협력 수행 포함
○ 관세청 UNI-PASS Open-API를 연계하여 지사/부서별 인증키 및 부호코드를 기반으로 수출입 통관 상태를 조회하고, 시스템 차단 방지를 위한 호출 주기 최적화 및 보안 관리 기능을 구현해야 함.
○ 레거시(Legacy) 시스템 연계 개발 포함 
○ 시스템 간 연계 실효성 확보
 -  유관부서와 협의하여 어떤 데이터를 주고받을지, 원데이터 보유 시스템이 어디인지에 대한 구체적 검토를 수행하고 현실 가능한 통합 프로세스를 설계해야 함.
(CNR-003) - 연계 처리를 위해 SAP 프로그램 변경 필요 시, 컨설턴트 및 개발 용역 제안 필수</t>
  </si>
  <si>
    <t>인터페이스 정의서</t>
  </si>
  <si>
    <t>○ SAP ECC 6.0 연계를 위한 SAP 컨설턴트 및 ABAP 개발자
 - 컨설턴트 : SAP CBO 분석 및 설계
 - ABAP 개발자 : STD, CBO 개발 및 EAI 작성</t>
  </si>
  <si>
    <t>○ 수행사는 계약체결일로부터 사업완료일까지 다음과 같이 대면 보고를 해야 함
 - 착수 보고 : 착수 후 1개월 이내
 - 주간 보고 : 매주 사업 구성원의 업무 수행상황 등
 - 월간 보고 : 당월의 업무 추진상황 및 항후 추진일정 등
 - 중간 보고 : 사업 수행 중 일정 시점의 수행 내용·결과 점검 등 
 - 완료 보고 : 사업 종료 시 전체 추진단계의 수행결과
 - 수시 보고 : 긴급 변경사항 및 서면요구에 의해 지정된 내용
○ 보고서, 보고회의 세부 방법과 일정은 상호 협의하여 조정할 수 있음</t>
  </si>
  <si>
    <t>준공검사확인서(준공조서, 기성부문산출내역, 검사확인서, 비용산출 최종내역)
정보시스템 현황보고서,
최종 프로그램 소스코드 및 디자인 원본 파일 일체</t>
  </si>
  <si>
    <t>○ 수행조직 구성 관련 사항 제시
 - 사업수행책임자(PM)는 반드시 제안사 소속으로 정보시스템 구축 사업의 지식과 경험을 보유한 관리자이어야 함
 - 사업수행조직과 단계별 핵심인력 구성 및 투입계획, 작업 단위별 업무분장, 투입비율 등을 제시해야 함
 - 투입 핵심인력(PM, PL 포함)에 대한 자격, 경력, 유사사업 참여실적을 상세하게 제시해야 함
 - 수행사는 계약서, 제안서, 과업수행계획서 및 착수계에 명시된 인력의 참여를 원칙으로 함
 - 사업 성공을 위한 추진조직 외 지원 또는 자문 조직 구성 제시 가능(관련비용은 수행사 비용으로 진행)
○ 투입인력 교체 관련 사항
 - 수행사는 투입인력 교체, 업무수행 중단 시 사전에 공사와 협의해야 하며, 교체 시에는 동일등급 이상의 인력으로 교체하여야 함
 - 사업기간동안 투입인력은 상주를 원칙으로 하며, 상주시기 및 인원은 공사와 협의(상주 시 부대비용은 제안사 부담)
 - 인력의 전문성 부족 또는 인력보완 판단 시, 교체 및 보완 등 협의를 거쳐 조치를 요청할 수 있음
 - 사업수행책임자(PM)는 교체 불가를 원칙으로 하며, 필요시 공사와 협의 후 대안 제시</t>
  </si>
  <si>
    <t>사업수행계획서
(경력확인서 포함)</t>
  </si>
  <si>
    <t>○주관사업자는 사업 수행 기간 동안 WBS(작업분류체계)와 형상관리 시스템이 연동된 자동화된 프로젝트 관리 도구(PMS)를 적용해야 한다.
○개발 진척률은 개발자의 주관적 판단(%) 입력을 지양하고, 실제 소스코드 커밋 건수, 테스트 통과율 등 정량적 데이터에 기반하여 시스템이 자동으로 산출해야 한다.
○프로젝트 관리자(PM) 및 발주사가 실시간으로 프로젝트 현황, 지연 요소, 리스크를 식별할 수 있는 통합 대시보드를 제공해야 한다.</t>
  </si>
  <si>
    <t>프로그램 목록</t>
  </si>
  <si>
    <t xml:space="preserve">○ 주관사업자는 소스코드의 품질 확보를 위해 단순 구문 점검을 넘어선 AI 기반의 정적/동적 분석 체계를 적용해야 한다.
○ [폐쇄망 환경 지원] 해당 품질 관리 활동은 외부망 접속이 차단된 내부망(On -Premise) 환경에서 수행 가능해야 하며, 이에 필요한 인프라 및 라이선스는 사업자가 제공한다. </t>
  </si>
  <si>
    <t>요구사항 정의서, 
요구사항 추적표</t>
  </si>
  <si>
    <t>○ 주관사업자는 개발 생산성 향상 및 소스코드 품질 분석을 위한 'AI 기반 개발 환경(Code Assistant 등)'을 구축해야 한다.
○ [인프라 제공 의무] 해당 AI 솔루션 구동에 필요한 H/W(GPU 서버 등), S/W 라이선스 등 일체의 인프라는 본 사업 기간 동안 주관사업자가 자체 비용으로 제공해야 한다.
○ [보안 준수] 모든 AI 환경은 외부 인터넷이 차단된 폐쇄망(On -Premise) 내에서 독립적으로 구동되어야 하며, 데이터 외부 유출 방지 조치를 적용해야 한다.</t>
  </si>
  <si>
    <t>○ 목표시스템 가동 이후 시스템 기능·성능 모니터링, 교육·기술지원 등 안정화 활동 수행계획 및 이행방안을 제시한다.
 - 안정화 활동 : 일별 가동 상태 모니터링 및 기록, 예방점검 활동 실시, 운영 유지관리 인력 교육, 자체 헬프데스크 운영 및 비상연락 체제 가동, 개발자원이관 및 기술지원 등을 의미
○ 안정화 기간을 확보하고 해당 기간 내 검수를 통해 본 사업의 준공을 해야 한다.</t>
  </si>
  <si>
    <t>○ 기술이전
 - 수행사는 공사의 운영자에게 교육 및 기술이전을 완수해야 함
 - 수행사는 시스템의 개발 및 운영, 모니터링 및 보안, 비상복구 방법 등 시스템 구성방법 및 장애 대체 방법, 기타 운영에 관한 사항 등 시스템 운영자의 자체 유지관리 능력 배양을 위한 기술 이전 계획을 제시하여야 함
 - 사업 수행과정과 관련된 필요한 기술이전 대상을 구체적으로 제시하여야 함
 - 시스템 운영자의 안정적 운영을 위한 기술 이전 분야, 방안, 기간 등에 대한 계획을 제시하여야 함
 - 수행사는 시스템의 확장/교체/변경 및 기능 보완, 연계 등에 필요한 제반 기술사항을 지원해야 함</t>
  </si>
  <si>
    <t>기술이전계획서,
시스템 운영 및 유지관리 지침서</t>
  </si>
  <si>
    <t>○ 본 사업의 하자담보책임 기간은 계약예규의 용역계약일반조건 제58조 제1항에 따라 검사에 의하여 사업의 종료 후 1년간으로 함
○ 하자담보 범위는 계약예규 용역계약일반조건 제58조에 따라 하자담보책임 기간 중에 발생한 소프트웨어 또는 정보시스템 등의 결함을 수정하는 것을 말한다. 다만, 아래의 경우 유상유지관리 및 재개발로 본다.
  - 하자보수기간 경과 후 발생된 하자에 대한 복구 및 지원
  - 과업내용서상 반영되지 않은 개선
  - 이미 구매한 물품 또는 이와 연동된 제품을 기초로 추가되는 개발 및 구축
  - 사용방법의 개선을 위한 요구사항 추가
  - 계약서에 명시되지 않은 사용자에 대한 교육 및 기술지원
○ 제안사는 소프트웨어(솔루션 등 추가 도입 시) 라이선스 정책, 업그레이드 조건, 유상 유지관리의 요율이 포함된 유지관리 조건을 자사, 제조사 또는 공급사로부터 확인하여 제안서에 제시하여야 하고, 기술지원확약서(유지관리 보증서)에 상기 내용을 포함하여 계약 전까지 제출
○ 무상 하자보증기간 만료 후 유상 유지관리 계약 체결 시 구매·납품한 SW의 유지관리 비용은 SW대가산정가이드 및 우리공사 정보시스템 유지관리 요율을 기준으로 하되 상호 협의하여 결정
○ 제안사는 시스템 체계 전반에 걸쳐 상세한 하자․유지관리 계획을 수립 및 제출
○ 하자담보책임 기간 내에 하자가 발생하여 하자보수를 요청한 경우 계약상대자는 요청을 받은 즉시 그 하자를 보수하여야 하며 해당 하자의 발생원인 및 기타 조치사항을 명시하여 사업담당자에게 제출하여야 함
○ 제안사는 하자담보책임 범위와 향후 수행할 유지관리 범위 및 대가에 대해 명확하게 구분하여 제안하여야 함
○ 계약상대자가 제3자로부터 구매하여 공급한 제품과 자체 개발한 SW를 포함한 전 시스템의 하자담보 책임기간은 준공검사완료일로부터 1년으로 한다. (단, H/W는 3년)
○ 모든 SW는 안정성이 입증된 최신 버전으로 제공해야 함
○ 계약상대자는 본 용역에 참여한 기술자들의 이직 등 신변 변동이 있을 경우에는 하자보수 책임기간에 지장이 없도록 적절한 조치를 취하여야 함
○ 계약상대자는 하자보수 책임기간에 계약상대자의 오류로 인해 발생한 본 용역의 하자에 대하여 계약상대자의 비용으로 재수행해야 하며, 하자가 발생 시에는 발주자의 요청에 의해 즉시 원인을 조사하고 시정에 필요한 조치를 제안하는 보고서를 제출해야 함</t>
  </si>
  <si>
    <t>표준체계 표준화 방법론 정의서,
To-be 프로세스 정의서</t>
  </si>
  <si>
    <t>○ AI 학습 및 맥락화를 위한 우리 공사 現 자재 표준체계(기준) 수립
 - 자재 분류체계 수립
 - 자재 식별체계(품목코드 채번 체계) 수립
 - 자재 속성체계 수립
 - 자재 표기체계(명명규칙, 단위, 약어 등) 수립
 - 1자재 1코드 QR코드 부착
 - 자재 안전재고 산출 방안 수립(AI 기술 활용 등 제안사 특화 기능 제시)
○ AI 학습 및 맥락화를 위한 우리 공사 19개 지사 열원/열수송/열량계 자재 기준정보(데이터) 표준체계에 따른 현장조사 및 DB화
 - 현장조사 : 문서, 도면, 준공도서, 사진촬영 등 데이터 수집</t>
  </si>
  <si>
    <t>○ AI 학습 및 맥락화를 위한 우리 공사 19개 지사 O/H 대상 설비별 유지보수 설계 표준체계에 따른 표준화 및 DB 화
 - 과거 6개년 지사별 중장기 유지보수 계획을 DB화 하여 시스템 반영
 - 작업 및 공사 설계 내역
○ AI 학습 및 맥락화를 위한 우리 공사 19개 지사 고장속보/상보 대응 설비별 긴급정비 작업 내역 표준체계에 따른 표준화 및 DB 화</t>
  </si>
  <si>
    <t>유지보수 표준 설계서</t>
  </si>
  <si>
    <t>고장속보 (상보)</t>
  </si>
  <si>
    <t>고장속보 (상보)</t>
    <phoneticPr fontId="4" type="noConversion"/>
  </si>
  <si>
    <t>고장속보(상보)의 등록/수정/조회</t>
  </si>
  <si>
    <t>고장속보(상보)의 등록/수정/조회</t>
    <phoneticPr fontId="4" type="noConversion"/>
  </si>
  <si>
    <t>계획 예방 정비 (결과)  보고 의 등록/수정/조회</t>
  </si>
  <si>
    <t>계획 예방 정비 (결과)  보고 의 등록/수정/조회</t>
    <phoneticPr fontId="4" type="noConversion"/>
  </si>
  <si>
    <t>계획 예방 정비관리</t>
    <phoneticPr fontId="4" type="noConversion"/>
  </si>
  <si>
    <t xml:space="preserve">계획 예방 정비 (결과) </t>
  </si>
  <si>
    <t xml:space="preserve">계획 예방 정비 (결과) </t>
    <phoneticPr fontId="4" type="noConversion"/>
  </si>
  <si>
    <t>○ 정보 조회 기능
 - 로그인한 사용자의 소속 지사를 기준으로 자재·설비·작업·공사 등의 정보 조회
 - 모든 정보는 사용자의 조회 조건에 따라 소속 지사 정보와 타지사 정보 조회 가능
 - 조회 결과로 표시되는 모든 항목에 대해 조회 조건을 설정할 수 있어야 하며, 문자열·숫자·날짜·부울값 등의 범위·값·포함여부조건 등 설정 기능
 - 모든 항목에 대한 조건 검색 시, 대용량 데이터 조회 속도 보장을 위한 서버 사이드(Server-side) 필터링 및 인덱싱 최적화 방안 제시
 - 협력사 사용자의 메뉴 접근 및 메뉴별 정보 조회·등록·수정 등 권한 설정 기능
 - PDF/이미지 파일 등은 다운로드 및 브라우저에서 직접 보기 기능
    직접보기 기능 구현을 위한 상용 뷰어 솔루션은 직접구매 제공 예정이며, 시스템과 연계 및 최적화 지원
 - 모든 조회 결과는 엑셀 다운로드 기능 제공(모바일 환경 시, 다운로드 기능 제외)
 - 승인이 필요한 업무의 경우, 승인선관리/진행단계표시/승인/반려 등의 정보 조회 기능(시스템 內 승인 처리 기능)
 - 우리 공사 전자결재를 활용한 승인 업무의 경우, 전자결재 연계 처리 및 진행상태 조회 기능
 - 업무별 우리 공사 보고서 양식을 준수하는 출력 기능 제공
○ 모바일 기능은 개인 모바일, 지급형 단말기(내부망 접근) 접근에 따라 정보 조회 및 권한 차등 적용
 - 개인용 : 보안과 무관한 일반업무 위주의 경량화된 UI 제공(현장점검 입력,  로그시트입력, TM발행, 현장사진 업로드 기능 등)
 - 지급형 : 현장점검, 설비 및 도면 조회 등 핵심업무 수행을 위한 데이터 중심 UI 제공(VPN 및 공사 보안 규정 및 국정원 가이드라인 준수)
○ 통계 기능
 - 주요 기능 및 업무에 대한 통계 정보 제공(통계 대상 및 범위는 사업 수행 시, 협의)
 - 관리자 또는 사용자의 통계 정보 범위, 대상, 결과, 차트 등의 변경/설정 기능 제공</t>
  </si>
  <si>
    <t>○ 사용자 인터페이스
 - 목록 정보는 그리드 형태로 표시하며, 각 열의 그리드 헤더에서 조회 조건(문자열·숫자·날짜·부울값 등) 범위·값·포함여부조건 등 설정 기능
 - 조회 결과는 일정량을 우선 표시하고, 스크롤 시 조회 결과 추가(Fetch) 또는 기능
 - 조회 결과에서 특정 열 선택 시, 새창/새탭/팝업 등으로 상세 정보 및 연관 정보 표시 기능
 - 탭의 경우, 새탭 생성 시 최초 로딩 이후 탭 간 이동 시 로딩 제거(탭별 사용자 새로고침에 의한 로딩)
 - 탭 방식 인터페이스 구현 시, 다중 탭 오픈에 따른 클라이언트(VDI 환경 포함) 메모리 점유율 최적화 방안(비활성 탭 리소스 관리 등) 제시
 - 사용자 즐겨찾기 메뉴 구성 기능
 - 사이드 메뉴/상단 메뉴 등 화면을 구성하는 주요 콤포넌트의 보이기/숨기기 기능
 - 주요 알림 및 긴급 알람 등은 모든 메뉴의 공통 영역에서 실시간 표시(숫자/리스트/요약정보/상세정보 등)하고 상시 관련 정보 접근 가능
 - 주요 입력 항목의 설명 및 도움말 제공(툴팁 등), 필수값 입력 강제 등의 검증 기능
 - 사용자 편의성을 보장하는 UI/UX 제공
 - 사용자 중심의 UI/UX 설계
○ 외부망 웹페이지는 협력사의 다양한 PC환경 및 모바일 브라우저를 고려하여 반응형(또는 모바일웹) 등 최적화된 UI/UX를 제공
○ 전사 UI/UX 표준화를 위한  가이드라인 및 디자인을 제시하여 타 시스템 간 시각적·기능적 통일성을 확보하고 유사한 사용자 경험을 제공</t>
  </si>
  <si>
    <t>○ 작업오더 관리
 - 작업오더 기본정보 및 상세정보(자재, 공량, 경비, Red Tag 등) 관리 기능
 - TM/고장속보/예방점검/예방정비 등의 주요 관리 정보와 연계 기능
 - 작업오더별 승인/반려 등의 처리/이력 관리 기능
 - 작업오더 등록 시, TM 또는 고장속보, 통합운영시스템의 계획예방정비 등 연계 기능
 - 작업오더로 등록되지 않은 TM 및 고장속보 등의 알림 기능
 - 작업오더의 공량/자재/경비 등의 설계 관리 및 설계금액 자동 산출 기능
 - 자재 설계 시, 필요 자재(설비 BOM 정보 활용 또는 사용자 입력)의 재고 수량 및 출고 가능 정보 제공
 - 자재의 가용수량 부족 시, 작업오더 임시저장 기능 및 자재 가용 시, 알림 제공
 - 설비마스터에 기 등록된 Red Tag 정보 자동 연계 기능(수정 가능)
 - 설비마스터에 Red Tag 미등록 시, Red Tag 설계 이력 추천/적용 기능(AI 기술 활용 등 제안사 특화 기능 제시)
 - 필수항목누락/수량/단가입력오류/중복품목방지 등 사용자 입력 오류 검증 및 안내 기능
 - 작업오더 신규 생성 시, 설계 기준서 및 작업 설계이력 조회/적용 기능
 - 설비별 설계기준서 및 작업오더 설계이력 추천/적용 기능(AI 기술 활용 등 제안사 특화 기능 제시)
 - 작업종료 후, 내용/결과/실적/사진업로드/기기점검결과보고서/관련자료업로드 등의 정보 관리 기능
 - 작업오더로 수행된 예방정비 작업종료 시, 예방정비/예방정비주기/차기예방정비일정 등의 예방정보 업데이트 기능
 - 우리 공사 표준시스템인 '스마트 안전관리 플랫폼'과 연계하여 안전작업허가서 관리
 - 스마트 안전관리 시스템에서, '안전작업허가서 승인 완료' 신호가 수신되어야만 작업오더를 '착수(Start)' 상태로 변경할 수 있는 프로세스 제어(Interlock) 기능을 구현해야 함.
(CNR-004) - 설비별 작업오더 설계이력 표준화 및 DB화 용역 포함(O/H 대상 설비)</t>
  </si>
  <si>
    <t>○ 고장속보 관리
 - 고장속보 조회 및 등록 기능
 - 전 지사 고장속보 목록 확인 및 고장속보 상세 내역 확인 기능
 - 모바일에서 고장속보 조회 및 신규 작성 지원
 - TM 및 작업오더 발행 기능 제공
 - 사진·관련문서 첨부, 미리보기 및 다운로드 지원
 - 신규 등록 및 중요사항 변경(상태, 피해규모 등) 시 담당부서(담당자) 알람 제공
 - 시간 입력 오류(발생시간 -작업개시시간 -종료시간) 등 자동 검증 기능 제공
(CNR-004) - 설비별 고장상보 대응 긴급작업 내역 표준화 및 DB화 용역 포함
○ 고장상보 관리
 - 고장상보 조회 및 등록 기능
 - 전 지사 고장상보 목록 확인 및 고장상보 상세 내역 확인 기능
 - 모바일에서 고장상보 조회 지원
 - 고장속보 연계를 통한 데이터 자동 입력 기능 제공
 - 고장상보 작성 시, 고장원인담당자 및 고장원인책임자 복수 지정 기능
 - 신규 등록 및 중요사항 변경(상태, 피해규모 등) 시 담당부서(담당자) 알람 제공
 - 시간 입력 오류(발생시간 -작업개시시간 -종료시간) 등 자동 검증 기능 제공
(CNR-004) - 설비별 고장상보 대응 긴급작업 내역 표준화 및 DB화 용역 포함</t>
  </si>
  <si>
    <t>○ 계획 예방 정비(결과) 관리
 - 계획 예방 정비(결과) 조회 및 등록 기능
 - 전 지사 계획 예방 정비(결과)  목록 확인 및 계획 예방 정비(결과)  상세 내역 확인 기능
 - 모바일에서 조회 및 신규 작성 지원
 - TM 및 작업오더 발행시 매핑 기능 제공
 - 사진·관련문서 첨부, 미리보기 및 다운로드 지원
 - 신규 등록 및 중요사항 변경(상태, 피해규모 등) 시 담당부서(담당자) 알람 제공
 - 시간 입력 오류(발생시간 -작업개시시간 -종료시간) 등 자동 검증 기능 제공</t>
  </si>
  <si>
    <t>메뉴 목록 및 응용기능 차트,
메뉴 구성도,
화면설계서,
UI/UX 표준화 계획(안)</t>
    <phoneticPr fontId="4" type="noConversion"/>
  </si>
  <si>
    <r>
      <t>엔티티목록, 정의서, ERD</t>
    </r>
    <r>
      <rPr>
        <sz val="9"/>
        <color theme="0"/>
        <rFont val="KoPub돋움체 Medium"/>
        <family val="1"/>
        <charset val="129"/>
      </rPr>
      <t>(논리데이터모델)</t>
    </r>
    <r>
      <rPr>
        <sz val="10"/>
        <color theme="0"/>
        <rFont val="KoPub돋움체 Medium"/>
        <family val="1"/>
        <charset val="129"/>
      </rPr>
      <t>, 코드 정의서, 데이터베이스설계서</t>
    </r>
    <r>
      <rPr>
        <sz val="9"/>
        <color theme="0"/>
        <rFont val="KoPub돋움체 Medium"/>
        <family val="1"/>
        <charset val="129"/>
      </rPr>
      <t>(물리데이터모델)</t>
    </r>
    <phoneticPr fontId="4" type="noConversion"/>
  </si>
  <si>
    <r>
      <t>○ 용역마스터 관리
 - 용역종류/기간/금액 등의 용역 일반정보와 용역오더로 구성된 용역마스터 관리 기능
 - 용역일반/용역비/추정가격/정산/설계변경/준공/기성/검수 등의 정보 관리 기능
 - 제비율 관리 기능(법규/용역 등의 기준 전산화 및 선택)
 - 물가정보 관리 기능
 - 물가정보 및 제비율의 기준 시점 변경 시, 관련된 단가/제비율 일괄 적용 기능
 - 물가정보/제비율 변경 시, '적용 개시일(Effective Date)' 관리 기능을 두어, 해당 일자 기준 이전/이후 용역오더의 단가가 자동 분리 적용되도록 설계해야 함.
 - 용역 설계변경, 제비율 기준 변경 등 주요 정보 알림 기능
 - 용역오더의 금액을 활용하여 제경비 자동 산출 기능(사용자 지정 산출식 적용 등)
 - 용역마스터 미사용 처리 시, 용역마스터에 연결된 용역오더 미사용 처리 기능
 - 유사 용역마스터 설계 내역 복사 및 일부 정보 복사 기능
 - 정산/설계변경/준공검수내역확인 등 내부처리 업무 지원(전자결재/전자계약 등 연계 처리)
 - 용역마스터 변경 시, 변경 전</t>
    </r>
    <r>
      <rPr>
        <sz val="10"/>
        <color theme="0"/>
        <rFont val="Calibri"/>
        <family val="1"/>
      </rPr>
      <t>·</t>
    </r>
    <r>
      <rPr>
        <sz val="10"/>
        <color theme="0"/>
        <rFont val="KoPub돋움체 Medium"/>
        <family val="1"/>
        <charset val="129"/>
      </rPr>
      <t>후 비교 기능
 - 용역오더 실적 기반 집행률/잔액계산 등 비용 정보 확인 기능(계약액 대비)
 - 준공/기성 검사결과 및 검수자료(검사성적서, 사진 등) 관리 기능
 - 본사 통합발주(소형 CHP 경상정비 용역 등) 용역 설계 및 지사별 사후관리 기능 지원</t>
    </r>
    <phoneticPr fontId="4" type="noConversion"/>
  </si>
  <si>
    <t>○ 작업오더 관리
 - 작업오더 기본정보 및 상세정보(자재, 공량, 경비, Red Tag 등) 관리 기능
 - TM/고장속보/예방점검/예방정비 등의 주요 관리 정보와 연계 기능
 - 작업오더별 승인/반려 등의 처리/이력 관리 기능
 - 작업오더 등록 시, TM 또는 고장속보, 계획예방정비 등 연계 기능
 - 작업오더로 등록되지 않은 TM 및 고장속보 등의 알림 기능
 - 작업오더의 공량/자재/경비 등의 설계 관리 및 설계금액 자동 산출 기능
 - 자재 설계 시, 필요 자재(설비 BOM 정보 활용 또는 사용자 입력)의 재고 수량 및 출고 가능 정보 제공
 - 자재의 가용수량 부족 시, 작업오더 임시저장 기능 및 자재 가용 시, 알림 제공
 - 설비마스터에 기 등록된 Red Tag 정보 자동 연계 기능(수정 가능)
 - 설비마스터에 Red Tag 미등록 시, Red Tag 설계 이력 추천/적용 기능(AI 기술 활용 등 제안사 특화 기능 제시)
 - 필수항목누락/수량/단가입력오류/중복품목방지 등 사용자 입력 오류 검증 및 안내 기능
 - 작업오더 신규 생성 시, 설계 기준서 및 작업 설계이력 조회/적용 기능
 - 설비별 설계기준서 및 작업오더 설계이력 추천/적용 기능(AI 기술 활용 등 제안사 특화 기능 제시)
 - 작업종료 후, 내용/결과/실적/사진업로드/기기점검결과보고서/관련자료업로드 등의 정보 관리 기능
 - 작업오더로 수행된 예방정비 작업종료 시, 예방정비/예방정비주기/차기예방정비일정 등의 예방정보 업데이트 기능
 - 우리 공사 표준시스템인 '스마트 안전관리 플랫폼'과 연계하여 안전작업허가서 관리
 - 스마트 안전관리 시스템에서, '안전작업허가서 승인 완료' 신호가 수신되어야만 작업오더를 '착수(Start)' 상태로 변경할 수 있는 프로세스 제어(Interlock) 기능을 구현해야 함.
(CNR-004) - 설비별 작업오더 설계이력 표준화 및 DB화 용역 포함(O/H 대상 설비)</t>
    <phoneticPr fontId="4" type="noConversion"/>
  </si>
  <si>
    <t>개발 생산성 향상 도구 적용</t>
    <phoneticPr fontId="4" type="noConversion"/>
  </si>
  <si>
    <r>
      <t>○ IT 인프라 구성 표준
 - OS : RHEL 9.4 이상
 - JDK : OpenJDK 17 이상
 - WEB : nginx 1.28 이상
 - WAS : Tomcat 9 이상
 - DB : Oracle 19c (Standard)
○ 개발환경 구성 표준
 - 전자정부프레임워크 기반 개발환경 준수
○ IT 인프라 구성 표준 준수 시, 우리 공사의 가상서버 제공 및 운영 지원
○ IT 인프라 구성 표준 및 개발환경 구성 표준 미준수 시,  제안사 직접 납품 및 운영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유지보수 방안 제시 필수
○ WEB/WAS/DB 등의 운영 Port는 우리 공사가 지정한 Port로 변경 운영 필수(Well -Known Port 사용 불가)
○ 우리 공사 직원의 업무환경인 가상 데스크탑 환경(VDI. 이하, 내부 업무환경)에서 속도 저하 및 지연없이 모든 서비스 제공
○ Microsoft Edge 브라우저에서 추가 프로그램(플러그인 등) 설치없이 모든 기능 제공</t>
    </r>
    <phoneticPr fontId="4" type="noConversion"/>
  </si>
  <si>
    <r>
      <t xml:space="preserve">○ 계정 및 권한관리
 - 로그인 계정별 관리자 권한과 사용자 권한 관리 기능
 - 관리자 권한으로 권한 그룹 관리 및 주요 시스템 설정 수행
 - 사용자별 권한 및 역할에 따른 관리 기능(메뉴접근/승인/조회/공사/작업/예약/주요정보 등)
 - 외부 협력사 계정은 계약 기간에 따른 '사용 유효기간(Expiry Date)' 설정 기능을 필수 제공하고, 기간 만료 시 자동 잠금(Lock) 처리되어야 함
 - 계약 만료일 이전에 사전 만료일 통보 및 자동 연장 기능 제공
○ 로그인 시 보직 선택 기능 제공
 - 인사 시스템의 '부서' 정보만으로는 사용자의 구체적인 수행 업무(기계/전기/제어/안전 등)를 식별할 수 없으므로, 최초 로그인 또는 권한 변경 필요 시 사용자가 자신의 '보직(Role)'을 직접 선택할 수 있는 팝업 화면을 제공해야 한다.
○ 보직 선택에 따른 권한 자동 매핑
 - 사용자가 선택한 보직에 따라, 사전에 정의된 '권한 그룹(Role)'과 '메뉴 접근 권한'이 즉시 시스템에 반영되어야 한다.
○ 다중 보직 및 겸직 지원
 - 2개 이상의 보직을 수행하는 겸직 사용자(파견 등) 를 위해, 로그인 후에도 상단 메뉴바 등을 통해 보직(Workspace) 전환이 가능하도록 구현해야 한다.
○ 보직 변경 이력 관리
 - 사용자가 보직을 선택하거나 변경한 이력(변경일시, 변경 전/후 보직, 접속 IP 등)은 시스템에 기록 및 보관되어야 한다.
○ 동일 ID 중복 역할인 경우, 한 번에 처리
 - 두 가지 이상 직책을 동일 직원이 중복해서 맡을 경우, 중복업무를 한 번에 처리(동일 ID로 검토 시 동일 문건 중 한 건이 처리되면 다른 건도 자동으로 처리)
 EX) (당초) 홍길동 기안 </t>
    </r>
    <r>
      <rPr>
        <sz val="11"/>
        <color theme="1"/>
        <rFont val="바탕"/>
        <family val="1"/>
        <charset val="129"/>
      </rPr>
      <t>–</t>
    </r>
    <r>
      <rPr>
        <sz val="11"/>
        <color theme="1"/>
        <rFont val="KoPub돋움체 Medium"/>
        <family val="1"/>
        <charset val="129"/>
      </rPr>
      <t xml:space="preserve"> 홍길동 팀장 </t>
    </r>
    <r>
      <rPr>
        <sz val="11"/>
        <color theme="1"/>
        <rFont val="바탕"/>
        <family val="1"/>
        <charset val="129"/>
      </rPr>
      <t>–</t>
    </r>
    <r>
      <rPr>
        <sz val="11"/>
        <color theme="1"/>
        <rFont val="KoPub돋움체 Medium"/>
        <family val="1"/>
        <charset val="129"/>
      </rPr>
      <t xml:space="preserve"> OOO 부장 -&gt; (변경) 홍길동 기안 </t>
    </r>
    <r>
      <rPr>
        <sz val="11"/>
        <color theme="1"/>
        <rFont val="바탕"/>
        <family val="1"/>
        <charset val="129"/>
      </rPr>
      <t>–</t>
    </r>
    <r>
      <rPr>
        <sz val="11"/>
        <color theme="1"/>
        <rFont val="KoPub돋움체 Medium"/>
        <family val="1"/>
        <charset val="129"/>
      </rPr>
      <t xml:space="preserve">   (생략)   </t>
    </r>
    <r>
      <rPr>
        <sz val="11"/>
        <color theme="1"/>
        <rFont val="바탕"/>
        <family val="1"/>
        <charset val="129"/>
      </rPr>
      <t>–</t>
    </r>
    <r>
      <rPr>
        <sz val="11"/>
        <color theme="1"/>
        <rFont val="KoPub돋움체 Medium"/>
        <family val="1"/>
        <charset val="129"/>
      </rPr>
      <t xml:space="preserve"> OOO 부장
○ Project OBS 설정 방법
 - 인사발령 등으로 인한 변경시 즉시 반영될 수 있도록 OBS(Organization Breakdown Structure) 설정 방법에 대한 개선
 - 관리자가 변경되는 조직에 맞게 OBS를 유동적으로 변경할 수 있도록 설정 가능</t>
    </r>
    <phoneticPr fontId="4" type="noConversion"/>
  </si>
  <si>
    <t>○ 모바일 공통 기능
 - 기능 요구사항에서 '모바일'로 표시된 기능은 내부 직원 및 외부(협력사/시공사 등) 직원으로 구분하여 모바일에서 제공
 - 모바일은 Android OS 와 iOS 를 지원
 - 사용자별 권한 및 역할에 따른 승인 처리 기능
 - 승인/이상/공사/작업/예약/주요정보 등의 알림(알람)을 모바일 PUSH로 제공
○ 모바일 기능은 개인 모바일, 지급형 단말기(내부망 접근) 구성으로 분리하여 제공
 - 시스템은 사용자가 접속한 단말기 유형(개인용/지급형)과 네트워크(외부망/내부망)을 자동식별하여, 그에 맞는 메인화면과 메뉴트리를 동적으로 구성
○ 모바일 기능은 우리 공사에서 기 운영 중인 '스마트 안전관리' 모바일 앱과 분리하여 별도로 운영할 수 있는 방안 제안 필수
○ 모바일 기능은 우리 공사의 보안등급(C -Classified, 기밀/S -Sensitive, 민감/O -Open, 공개)을 준용하여 보안성 검토를 받아야 한다
○ 모바일 기능은 모바일 환경(개인모바일, 지급형 단말기) UI/UX 최적화
○ 네트워크 음영지역(지하 공동구 등)에서도 점검 결과 입력 및 조회가 가능하도록 오프라인 모드(Data Caching &amp; Sync) 기능 필수 제공
○ 모바일 보안을 위해 화면 캡처 방지, 루팅 감지 등 공사 모바일 보안 가이드라인 준수 및 MDM 연동 지원
○ 하이브리드/웹 표준 기반 디바이스 제어: 모바일 웹 환경에서도 현장 업무 처리를 위해 스마트폰의 카메라, GPS, 파일 시스템에 직접 접근할 수 있는 Web API 또는 하이브리드 브릿지 기술을 적용해야 한다.
○ QR/바코드 스캔 및 처리: 별도의 스캐너 장비 없이 스마트폰 카메라를 통해 자재/설비의 QR(바코드)를 인식하고, 즉시 해당 정보 조회 화면으로 이동하거나 데이터를 입력하는 기능을 제공해야 한다.
○ 현장 사진 촬영 및 최적화: 현장에서 점검/보수 내역 작성 시 카메라를 호출하여 사진을 촬영하고, 서버 전송 용량 최적화(리사이징/압축) 후 즉시 첨부하는 기능을 제공해야 한다.
○ 위치 기반(GPS) 작업 통제: 작업자가 실제 현장에 도착했는지 확인하기 위해 GPS 좌표를 수집한다.(GPS 수집 대상 단말기와 대상은 구축시 협의)</t>
    <phoneticPr fontId="4" type="noConversion"/>
  </si>
  <si>
    <r>
      <t>○ 정보 조회 기능
 - 로그인한 사용자의 소속 지사를 기준으로 자재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설비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작업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공사 등의 정보 조회
 - 모든 정보는 사용자의 조회 조건에 따라 소속 지사 정보와 타지사 정보 조회 가능
 - 조회 결과로 표시되는 모든 항목에 대해 조회 조건을 설정할 수 있어야 하며, 문자열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숫자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날짜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부울값 등의 범위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값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포함여부조건 등 설정 기능
 - 모든 항목에 대한 조건 검색 시, 대용량 데이터 조회 속도 보장을 위한 서버 사이드(Server-side) 필터링 및 인덱싱 최적화 방안 제시
 - 협력사 사용자의 메뉴 접근 및 메뉴별 정보 조회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등록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수정 등 권한 설정 기능
 - PDF/이미지 파일 등은 다운로드 및 브라우저에서 직접 보기 기능
    직접보기 기능 구현을 위한 상용 뷰어 솔루션은 직접구매 제공 예정이며, 시스템과 연계 및 최적화 지원
 - 모든 조회 결과는 엑셀 다운로드 기능 제공(모바일 환경 시, 다운로드 기능 제외)
 - 승인이 필요한 업무의 경우, 승인선관리/진행단계표시/승인/반려 등의 정보 조회 기능(시스템 內 승인 처리 기능)
 - 우리 공사 전자결재를 활용한 승인 업무의 경우, 전자결재 연계 처리 및 진행상태 조회 기능
 - 업무별 우리 공사 보고서 양식을 준수하는 출력 기능 제공
○ 모바일 기능은 개인 모바일, 지급형 단말기(내부망 접근) 접근에 따라 정보 조회 및 권한 차등 적용
 - 개인용 : 보안과 무관한 일반업무 위주의 경량화된 UI 제공(현장점검 입력,  로그시트입력, TM발행, 현장사진 업로드 기능 등)
 - 지급형 : 현장점검, 설비 및 도면 조회 등 핵심업무 수행을 위한 데이터 중심 UI 제공(VPN 및 공사 보안 규정 및 국정원 가이드라인 준수)
○ 통계 기능
 - 주요 기능 및 업무에 대한 통계 정보 제공(통계 대상 및 범위는 사업 수행 시, 협의)
 - 관리자 또는 사용자의 통계 정보 범위, 대상, 결과, 차트 등의 변경/설정 기능 제공</t>
    </r>
    <phoneticPr fontId="4" type="noConversion"/>
  </si>
  <si>
    <r>
      <t>○ 사용자 인터페이스
 - 목록 정보는 그리드 형태로 표시하며, 각 열의 그리드 헤더에서 조회 조건(문자열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숫자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날짜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부울값 등) 범위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값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포함여부조건 등 설정 기능
 - 조회 결과는 일정량을 우선 표시하고, 스크롤 시 조회 결과 추가(Fetch) 또는 기능
 - 조회 결과에서 특정 열 선택 시, 새창/새탭/팝업 등으로 상세 정보 및 연관 정보 표시 기능
 - 탭의 경우, 새탭 생성 시 최초 로딩 이후 탭 간 이동 시 로딩 제거(탭별 사용자 새로고침에 의한 로딩)
 - 탭 방식 인터페이스 구현 시, 다중 탭 오픈에 따른 클라이언트(VDI 환경 포함) 메모리 점유율 최적화 방안(비활성 탭 리소스 관리 등) 제시
 - 사용자 즐겨찾기 메뉴 구성 기능
 - 사이드 메뉴/상단 메뉴 등 화면을 구성하는 주요 콤포넌트의 보이기/숨기기 기능
 - 주요 알림 및 긴급 알람 등은 모든 메뉴의 공통 영역에서 실시간 표시(숫자/리스트/요약정보/상세정보 등)하고 상시 관련 정보 접근 가능
 - 주요 입력 항목의 설명 및 도움말 제공(툴팁 등), 필수값 입력 강제 등의 검증 기능
 - 사용자 편의성을 보장하는 UI/UX 제공
 - 사용자 중심의 UI/UX 설계
 - 사용자는 End to End 로 업무프로세스가 진행되는것 을 확인할 수 있도록 상단에 현재 업무과정을 표기하여야한다.
 - 상단의 업무프로세스 UI를 클릭스 타 레거시의 해당 메뉴로 진입할 수 있도록 URL을 연결한다. 
 - 상단의 업무프로세스 과정에서 타부서의 결재 과정이나, 시스템의 오류사항을 수시로 점검하여 반영한다.
○ 외부망 웹페이지는 협력사의 다양한 PC환경 및 모바일 브라우저를 고려하여 반응형(또는 모바일웹) 등 최적화된 UI/UX를 제공
○ 전사 UI/UX 표준화를 위한 웹 디자인을 제시하여 업무시스템간 시각적,기능적 통일성을 확보하고 유사한 사용자 경험을 제공
(HTML5 기반 업무포털과 연계하여 포털 중앙화면에서 통합 제공 등)</t>
    </r>
    <phoneticPr fontId="4" type="noConversion"/>
  </si>
  <si>
    <t>○ 스마트 도면관리
 - 동일 시스템에서 기능을 제공하거나, 별도 시스템으로 기능 제공 가능
 - 별도 시스템으로 기능 제공 시, 정보 연계 방안 제시 필수
 - 스마트 도면 內, 설비별 실시간 운전 정보 연계 방안 제시
 - 스마트 도면의 접근/조회(View)/편집(Edit)/정보수정 등에 필요한 계정 관리 및 권한 관리 기능 제공
 - 스마트 도면 조회/편집/정보수정 시, 추가 프로그램 및 플러그인 설치없이 웹 브라우저에서 모든 기능 사용 필수
 - 스마트 도면 外, 사용자가 등록한 기타 도면(비전산화 대상 도면) 관리 기능(최신도면제공 및 이력관리)
 - 스마트 도면의 태그를 활용한 설비마스터(설비명, 설비정보, 정비이력  등)  정보 연결, Red Tag 설계 기능
○ 전산화(지능화) 도면 外 건설 관련 도면 등 사용자가 선택한 dwg. pdf 도면에 대한 조회(View) 및 편집(Edit), 마킹 기능 제공 
 - 도면 Mark up 및 편집시 자주 사용하는 아이콘(밸브 닫힘, 열림, 차단기 조작 등)을 제공
○ PC 및 모바일 환경 지원
 - PC 및 모바일(지급형 태블릿)에서 스마트 도면 조회/편집/정보수정 기능 제공
 - PC : Microsoft Edge 브라우저에서 모든 기능 제공
 - 모바일(지급형 태블릿)에서 도면 접근 시, 우리 공사 MDM(Mobile Device Management) 프로그램 구동 필수
 - 모바일 : 기기의 종류 및 해상도에 따라 화면 배치(레이아웃) 등의 유동적 변경 기능
○ 타 플랫폼간 연계방안
 - 스마트 안전관리 플랫폼 정보 연계</t>
    <phoneticPr fontId="4" type="noConversion"/>
  </si>
  <si>
    <r>
      <t>○ 자재관리(공통)
 - 자재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공기구 구매요청/재고/전용/환입/불용 등의 처리 기능
 - 자재관리 기능은 SAP 와 실시간 정보 연계(SAP 관리 영역 外 정보는 연계 제외)
 - 자재관리(회계, 재무)를 위한 통계분석 기능(SAP 연계 필수)
 - 건설공사 등 준공을 위한 자재 정산(부분, 종합) 기능
 - 필요 시 전자계약 및 전자결재 등과의 실시간 정보 연계
 - SAP 자산관리번호(이하, 자산번호)를 활용한 개별자재 관리 기능(1자재 1태그)
 - 개별자재 대상 : 예비품, 저장품, 수리부분품, 비저장품, 보수소모품, 사급자재
 - 지사 -자재마스터 -자산번호 -구매번호 -개별자재 등의 연관 정보를 관리
 - 소속지사 外, 타지사 자재 조회 기능
 - 지사 창고별 자재재고/가용재고/안전재고 수량 조회 기능
 - 사용자 지정 자재별 재주문 필요 시점 설정 관리 및 알림 기능
 - 개별자재를 위한 QR 코드 발행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출력 기능(QR 코드에는 시스템 식별자만 인코딩)
 - 개별자재 QR 코드 발행 대상 : 열원/열량계
 - 검토사항 : 정확한 자재의 수량 및 범위 확정 필요
 - QR 코드 출력 이력 관리 기능
 - QR 코드 프린터(19ea, 19개 지사 창고 비치) 및 QR 코드 출력용지(지사별 자재 10,000개 대상) 납품 포함
(QR 프린터) - Thermal Transfer(열전사) 방식 지원, 해상도 300dpi 이상, 최대 인쇄폭 104mm 이상, 인쇄속도 150mm/s 이상, USB 및 Ethernet 인터페이스 제공, 라벨인쇄를 위한 Gap 및 Black Mark 센서 지원, 표준 프린팅 언어(ZPL/EPL/TSPL 중 1개 이상) 또는 동급의 외부 연동 인터페이스를 제공, 리본 왁스레진/레진 등급 사용 가능, 합성지(PP/PET) 라벨 인쇄 지원)
 - QR 코드는 프린터와 모바일 장비를 OTG(On -The -Go)로 연결하여 출력
※ 공사 보안규정상 건물 내  WIFI 연결이 불가.
 - 모바일 장비에서 재물조사 대상 자재조회 후, QR 코드 인식으로 재물조사 처리 기능(다수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동일 자재의 경우 수량으로 일괄처리)
 - 모바일 앱에서 QR 코드 인식 시, 자재 상세정보 제공 기능
(CNR-003) - 개별자재에 QR 코드 출력 및 부착 용역 포함(부착 불가 시, 고리형 부착 등의 방법 제시)
(CNR-003) - 재고자재 실물 현장/현황 조사 및 DB화 용역 포함</t>
    </r>
    <phoneticPr fontId="4" type="noConversion"/>
  </si>
  <si>
    <r>
      <t>자재 입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출고관리</t>
    </r>
    <phoneticPr fontId="4" type="noConversion"/>
  </si>
  <si>
    <r>
      <t>○ 자재 입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출고(공통)
 - 자재 검수/입고/출고예약/출고 관리 기능(모바일 장비 및 자재 QR 코드 활용 지원, SAP 실시간 연계)
 - 다수의 자재 입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출고 시, 일괄처리 기능
 - 자재 입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출고 내역 수정 기능(재고 수량 원상복구)
 - 입출고 내역 수정(취소)은 '결재 승인'을 통해서만 가능하도록 하고, 수정 사유와 수정 전/후 데이터를 감사 로그(Audit Log)로 영구 보관해야 함.
 - 창고 및 보관위치 관리 기능
(CNR-003) - 창고 및 보관위치 QR 코드 발행 및 부착 용역 포함</t>
    </r>
    <phoneticPr fontId="4" type="noConversion"/>
  </si>
  <si>
    <r>
      <t>○ 자재관리(열수송)
 - SAP 에서 관리하는 배관자재의 미터(M)단위 합계 관리 外, 개수(EA) 단위 개별 수량 관리 기능(1자재 1태그)
 - 연도별, 회차별, 지사별 열수송자재 정기발주 및 납품지시 관리 기능
 - 임시 자산 등록 후, 일괄 자산 취득 처리 기능
○ 자재관리(열수송 - 긴급자재보관소)
 - 우리 공사 및 긴급자재 협약사업자/협력사의 긴급자재보관소 자재조회 및 신청 관리 기능
 - 긴급자재 요청에 대한 긴급자재보관소 입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출고/전용/환입/불용 처리 등 우리 공사 처리 업무(전자결재/전자계약/SAP/한난맵 등) 연계 기능
 - 긴급자재 협약사를 위한 '외부망 접근환경' 구축 및 내부망 시스템과의 아키텍처를 명시해야 함</t>
    </r>
    <phoneticPr fontId="4" type="noConversion"/>
  </si>
  <si>
    <r>
      <t>○ 공사마스터 관리
 - 공사종류/기간/금액 등의 공사 일반정보와 공사오더로 구성된 공사마스터 관리 기능
 - 공사일반/공사비/추정가격/정산/설계변경/준공/기성/검수 등의 정보 관리 기능
 - 공사마스터와 연관된 공사오더에 공통 적용 가능한 항목(보증기간, 노임단가, 간접노무비 등) 관리 기능
 - 공사마스터 정보 관리 시, 연관된 공사오더 설계 정보 확인 편의성 제공
 - 제비율 관리 기능(법규/공사 등의 기준 전산화 및 선택)
 - 물가정보 관리 기능
 - 물가정보 및 제비율의 기준 시점 변경 시, 관련된 단가/제비율 일괄 적용 기능
 - 물가정보/제비율 변경 시, '적용 개시일(Effective Date)' 관리 기능을 두어, 해당 일자 기준 이전/이후 공사오더의 단가가 자동 분리 적용되도록 설계해야 함.
 - 공사 설계변경, 제비율 기준 변경 등 주요 정보 알림 기능
 - 공사오더의 금액을 활용하여 제경비 자동 산출 기능(사용자 지정 산출식 적용 등)
 - 공사마스터 미사용 처리 시, 공사마스터에 연결된 공사오더 미사용 처리 기능
 - 유사 공사마스터 설계 내역 복사 및 일부 정보 복사 기능
 - 정산/설계변경/준공검수내역확인 등 내부처리 업무 지원(전자결재/전자계약 등 연계 처리)
 - 공사마스터 변경 시, 변경 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후 비교 기능
 - 공사오더 실적 기반 집행률/잔액계산 등 비용 정보 확인 기능(계약액 대비)
 - 공사마스터 변경 시, 기술정산서 관리 기능
 - 준공/기성 검사결과 및 검수자료(검사성적서, 사진 등) 관리 기능
 - 본사 통합발주(경상정비 공사, 판형열교환기, 유체커플링 등) 공사 설계 및 지사별 사후관리 기능 지원</t>
    </r>
    <phoneticPr fontId="4" type="noConversion"/>
  </si>
  <si>
    <r>
      <t>○ 용역마스터 관리
 - 용역종류/기간/금액 등의 용역 일반정보와 용역오더로 구성된 용역마스터 관리 기능
 - 용역일반/용역비/추정가격/정산/설계변경/준공/기성/검수 등의 정보 관리 기능
 - 제비율 관리 기능(법규/용역 등의 기준 전산화 및 선택)
 - 물가정보 관리 기능
 - 물가정보 및 제비율의 기준 시점 변경 시, 관련된 단가/제비율 일괄 적용 기능
 - 물가정보/제비율 변경 시, '적용 개시일(Effective Date)' 관리 기능을 두어, 해당 일자 기준 이전/이후 용역오더의 단가가 자동 분리 적용되도록 설계해야 함.
 - 용역 설계변경, 제비율 기준 변경 등 주요 정보 알림 기능
 - 용역오더의 금액을 활용하여 제경비 자동 산출 기능(사용자 지정 산출식 적용 등)
 - 용역마스터 미사용 처리 시, 용역마스터에 연결된 용역오더 미사용 처리 기능
 - 유사 용역마스터 설계 내역 복사 및 일부 정보 복사 기능
 - 정산/설계변경/준공검수내역확인 등 내부처리 업무 지원(전자결재/전자계약 등 연계 처리)
 - 용역마스터 변경 시, 변경 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후 비교 기능
 - 용역오더 실적 기반 집행률/잔액계산 등 비용 정보 확인 기능(계약액 대비)
 - 준공/기성 검사결과 및 검수자료(검사성적서, 사진 등) 관리 기능
 - 본사 통합발주(소형 CHP 경상정비 용역 등) 용역 설계 및 지사별 사후관리 기능 지원</t>
    </r>
    <phoneticPr fontId="4" type="noConversion"/>
  </si>
  <si>
    <r>
      <t>○ 공사오더 관리
 - 공사마스터에 속하는 공사오더 관리 기능
 - 공사오더 일반정보(설비마스터/설계자/보수/운영/정비부서/작업기간/작업등급/작업허가여부 등) 및 상세정보(공량/자재/경비/Red Tag 등) 관리 기능
 - 상세정보에서 작업항목/작업항목별 공량/자재/경비/Red Tag 등의 설계 기능 및 각 설계내역의 총 금액 자동 산출 기능
 - 기존 공사오더 설계 내역(공량/자재/경비설계 등) 전체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일부 복사 기능
 - 설비별 적합 설계 이력 추천/적용 기능(AI 기술 활용 등 제안사 특화 기능 제시)
 - 품셈 및 물가정보 관리 기능(전산화 및 조회/선택)
 - 경비 설계시 항목별 산출근거 자료 관리 및 총경비 금액 중 도급분/사급분 금액 자동계산 기능
 - 협력사별 견적 등록 기능(외부 접근)
 - 설비마스터에 기 등록된 Red Tag 정보 자동 연계 기능(수정 가능)
 - 설비마스터에 Red Tag 미등록 시, Red Tag 설계 이력 추천/적용 기능(AI 기술 활용 등 제안사 특화 기능 제시)
 - 필수 항목 누락, 수량/단가 입력 오류, 중복 품목 등록 등 사용자 입력 오류 검증 및 안내 기능
 - 설비마스터 다중 선택 후, 공사오더 등록 및 일괄 승인 처리 기능
 - 우리공사 표준시스템인 '스마트 안전관리 플랫폼'과 연계하여 안전작업허가서 관리</t>
    </r>
    <phoneticPr fontId="4" type="noConversion"/>
  </si>
  <si>
    <r>
      <t>○ 공사오더 - 설계기준서 관리
 - 설비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설비군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기능위치에 적용 가능한 작업등급(A/B/C 등급 등)별 설계기준서 작성
 - 설계기준서에서 작업내용/작업절차/자재/공량/품셈 등의 정보를 관리
 - 신규 생성 시, 과거 동일/유사 설계이력을 조회/추천/적용 기능(AI 기술 활용 등 제안사 특화 기능 제시)
 - 공사용/예방정비용/경상정비용 등의 종류 구분 기능
 - 설계기준서의 버전관리 및 이전 버전과의 비교 기능
 - 공사 열원보수표준품셈을 반영하여, 설비마스터 內 DB화된 설비 용량에 따라 설계기준서의 용량을 적용한 설계기준서 자동생성 기능 제공</t>
    </r>
    <phoneticPr fontId="4" type="noConversion"/>
  </si>
  <si>
    <r>
      <t>○ 예방정비 관리
 - 예방정비 대상 설비 조회/신규 지정, 예방정비 작업오더 사전 설계, 일정 등록 및 작업오더 자동 발행 기능
 - 대상 설비 신규 등록 시, 동일 설비의 예방정비 작업오더 사전 설계 내역 조회 및 적용 기능 제공(AI 기술 활용 등 제안사 특화 기능 제시)
 - 자동 오더 발행 설정(예방정비 주기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오더자동생성조건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시행기준일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작업등급) 관리
 - 다수 설비 선택 후 동일 설계 내용 일괄 적용 기능
 - 기 등록 예방정비 대상 설비의 과거 정비 이력 정보 제공
 - 연도별 예방정비 시행 예정 설비리스트 자동 생성
 - 생성된 연도의 설비별 예방정비 일정 삭제/변경 가능해야 함
 - 예방정비 작업오더 자동 생성 후 담당부서/담당자 알림 기능 제공
 - 예방정비 일정표는 캘린더와 리스트로 제공, 엑셀 등 파일로 내보내기 지원
 - 예방정비 작업오더 종결 시, 작업실적 연계를 통한 정비이력 정보 제공 기능
 - 연도별 예방정비를 통한 중장기 유지보수 계획 및 실적 관리
 (CNR-002) - 과거 6개년 지사별 중장기 유지보수 계획을 DB화 하여 시스템 반영</t>
    </r>
    <phoneticPr fontId="4" type="noConversion"/>
  </si>
  <si>
    <r>
      <t>예방점검 대상 설비 등록, 점검항목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점검기준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점검일정 설계 및 예방점검 결과 등 예방점검 전과정 관리</t>
    </r>
    <phoneticPr fontId="4" type="noConversion"/>
  </si>
  <si>
    <r>
      <t>○ 예방점검마스터
 - 예방점검 계획 수립 및 예방점검 등록/이력 조회 관리 기능
 - 예방점검 계획 수립 시, 예방점검 대상 설비 등록 및 점검 Check Sheet(점검항목, 점검기준)/점검주기 관리, 연간 일정 관리 가능 제공
 - 예방점검 항목별 시행/미시행 여부 선택 기능 제공
 - 예방점검 신규 입력 시, 일반정보(점검명, 점검주기, 담당부서 등) 및 대상 설비 리스트, 대상설비별 점검항목/점검 기준 등록</t>
    </r>
    <r>
      <rPr>
        <sz val="10"/>
        <color theme="1"/>
        <rFont val="Calibri"/>
        <family val="1"/>
      </rPr>
      <t>·</t>
    </r>
    <r>
      <rPr>
        <sz val="10"/>
        <color theme="1"/>
        <rFont val="KoPub돋움체 Medium"/>
        <family val="1"/>
        <charset val="129"/>
      </rPr>
      <t>수정</t>
    </r>
    <r>
      <rPr>
        <sz val="10"/>
        <color theme="1"/>
        <rFont val="Calibri"/>
        <family val="1"/>
      </rPr>
      <t>·</t>
    </r>
    <r>
      <rPr>
        <sz val="10"/>
        <color theme="1"/>
        <rFont val="KoPub돋움체 Medium"/>
        <family val="1"/>
        <charset val="129"/>
      </rPr>
      <t>저장 기능 제공
 - 동일 점검을 여러 설비에 일괄 추가 및 삭제 기능
○ 예방점검
 - 예방점검 일정 생성/조회 및 예방점검 결과 입력, 과거 점검 이력 조회 관리 기능
 - 예방점검 일정 생성 시, 연간 일정과 주간 계획 상호 연계
 - 예방점검마스터에서 설정한 점검주기에 따른 점검항목별 주단위(1주~52주) 연간 예방점검 일정 자동 생성
 - 예방점검마스터에서 설정한 점검 수행 요일 정보에 따른 주간 예방점검 일정 자동 생성
 - 요일별 등록된 점검 일정 목록 복사/붙여넣기 기능 지원
 - 주간 예방점검 일정표에서 점검 Check Sheet 조회/출력 및 일자별 점검결과 입력 바로가기 기능 제공
 - 점검결과 입력 시, 점검기준치 이탈에 대한 경고 알림 제공
 - 점검결과 입력 시, 점검 결과 불량 항목에 대한 작업지시서 생성 연계 기능 제공
 - 점검 결과 양호 항목에 대한 일괄 승인 요청 기능
 - 모바일에서 QR/바코드 스캔 기반 예방점검 일정 조회, 체크리스트 조회, 점검 결과 입력, 사진 첨부 기능 지원
 - 점검 이력 조회 시, 설비별/점검항목별 상세 결과 및 추이 그래프 제공
 - 일정 자동 생성 시 '공사 휴무일 및 대보수 기간 자동 회피' 로직과, 부서별 '주간 최대 점검 가능 건수(Capa)'를 설정하여 일정을 평탄화(Leveling)하는 알고리즘을 제안해야 함.
 - 예방점검 결과 입력 시, 'GPS 위치 및 QR 인증' 을 통해 실제 설비 근처에 있어야만 '완료' 버튼이 활성화되는 기능을 도입하여 허위 점검 원천 차단</t>
    </r>
    <phoneticPr fontId="4" type="noConversion"/>
  </si>
  <si>
    <r>
      <t>○ 작업통계 관리
 - 카테고리(작업, 공사, Red Tag, 예방점검)별 주요 지표 통계 조회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집계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분석 기능
 - 기간, 지사, 사업장, 설비군, 설비, 담당부서 등의 조건에 대한 다중 필터 조회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집계 기능
 - 주요 지표별 통계 데이터를 테이블 및 그래프로 제시 기능 제공
 - 주요 지표에 대한 정의, 산식 정보 표시(툴팁, 안내문 등) 기능
 - 주요 통계 지표별 전년동기/전월 대비 및 목표 대비 증감율 제공
 - 통계 수치 단위 변환(원/천원/백만원, 시간/일 등) 지원</t>
    </r>
    <phoneticPr fontId="4" type="noConversion"/>
  </si>
  <si>
    <r>
      <t>○ 고장속보 관리
 - 고장속보 조회 및 등록 기능
 - 전 지사 고장속보 목록 확인 및 고장속보 상세 내역 확인 기능
 - 모바일에서 고장속보 조회 및 신규 작성 지원
 - TM 및 작업오더 발행 기능 제공
 - 사진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관련문서 첨부, 미리보기 및 다운로드 지원
 - 신규 등록 및 중요사항 변경(상태, 피해규모 등) 시 담당부서(담당자) 알람 제공
 - 시간 입력 오류(발생시간 -작업개시시간 -종료시간) 등 자동 검증 기능 제공
(CNR-004) - 설비별 고장상보 대응 긴급작업 내역 표준화 및 DB화 용역 포함
○ 고장상보 관리
 - 고장상보 조회 및 등록 기능
 - 전 지사 고장상보 목록 확인 및 고장상보 상세 내역 확인 기능
 - 모바일에서 고장상보 조회 지원
 - 고장속보 연계를 통한 데이터 자동 입력 기능 제공
 - 고장상보 작성 시, 고장원인담당자 및 고장원인책임자 복수 지정 기능
 - 신규 등록 및 중요사항 변경(상태, 피해규모 등) 시 담당부서(담당자) 알람 제공
 - 시간 입력 오류(발생시간 -작업개시시간 -종료시간) 등 자동 검증 기능 제공
(CNR-004) - 설비별 고장상보 대응 긴급작업 내역 표준화 및 DB화 용역 포함</t>
    </r>
    <phoneticPr fontId="4" type="noConversion"/>
  </si>
  <si>
    <r>
      <t>○ 계획 예방 정비(결과) 관리
 - 계획 예방 정비(결과) 조회 및 등록 기능
 - 전 지사 계획 예방 정비(결과)  목록 확인 및 계획 예방 정비(결과)  상세 내역 확인 기능
 - 모바일에서 조회 및 신규 작성 지원
 - TM 및 작업오더 발행시 매핑 기능 제공
 - 사진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관련문서 첨부, 미리보기 및 다운로드 지원
 - 신규 등록 및 중요사항 변경(상태, 피해규모 등) 시 담당부서(담당자) 알람 제공
 - 시간 입력 오류(발생시간 -작업개시시간 -종료시간) 등 자동 검증 기능 제공</t>
    </r>
    <phoneticPr fontId="4" type="noConversion"/>
  </si>
  <si>
    <t>○ 모든 파일의 암호화되며, 정상적인 경로로 다운로드 시 복호화 기능
○ 파일 등록 시 승인자, 검토자, 통보자 지정 기능
○ 등록된 파일을 건설사, 설계사가 확인할 수 있도록 자동 배포 기능
○ 첨부파일의 개별 또는 일괄 업로드/다운로드 기능
○ 다운로드 이력 확인 기능
○ 다운로드 권한관리 기능</t>
    <phoneticPr fontId="4" type="noConversion"/>
  </si>
  <si>
    <r>
      <t xml:space="preserve">○ 외부 접근 제한
 - 외부 접근 시, 권한에 따라 메뉴/정보조회 등의 기능 제한 관리 기능
 - 외부 접근은 PC 환경과 모바일 앱(이하, 모바일)에서 가능하며, 우리 공사 보안 규정(OTP / MDM 등) 준수
 - 우리 공사 직원의 외부 접근(PC/모바일)은 OTP 로 로그인 처리
 - 협력사 직원의 외부 접근(PC/모바일)은 시스템에서 1일 접근 코드를 생성 후 휴대폰 문자로 전송
 - 협력사별 대표 계정을 관리하고, 대표 계정으로 협력사의 사용자 계정 관리
</t>
    </r>
    <r>
      <rPr>
        <sz val="11"/>
        <color theme="1"/>
        <rFont val="KoPub돋움체 Medium"/>
        <family val="3"/>
        <charset val="129"/>
      </rPr>
      <t>○ 사용자 권한 설정 제시
 - 시스템에 보관되어 있는 각종 데이터와 사용자 인증정보의 올바른 보관과 활용을 위해 자료의 검색 및 조회에 대한 접근 권한을 규정하여 관리할 수 있어야 함
 - 사용자(내·외부)를 분류하여 등급 및 역할에 따라 정보 공개 및 접속 권한 여부를 설정하도록 함
 - 보관되어 있는 각종 데이터와 사용자 인증정보의 올바른 보관과 활용을 위해 자료의 검색 및 조회에 대한 접근 권한을 규정하여 관리되어야 함
○ 사용자 접근제어
 - 업무기능별로 사용자 권한부여가 가능하도록 개발되어야 함
 - 사용자 권한에 따른 데이터 접근범위 제한(권한관리)하여야 함</t>
    </r>
    <phoneticPr fontId="4" type="noConversion"/>
  </si>
  <si>
    <r>
      <t xml:space="preserve"> ○ 정보누출금지 
 - 사업수행기간 중 '국가정보보안 기본지침', 우리공사의 '정보보안규정' 등 정보보호 관련 법규 준수
 - 용역수행사(하도급사 포함)의 우리 공사 보안정책 위반 시, 위반처리 기준에 따라 위반자 및 관리자를 조치하고, 보안위약금 부과 기준에 따라 공사가 부과한 보안 위약금을 납부해야 함
 - 사업 수행에 사용되는 문서, 인원, 장비 등에 대한 물리적, 관리적, 기술적 보안대책 및 ‘누출금지 대상정보’에 대한 보안관리계획 사업수행계획서에 기재 
 - 정보 누출 시 공사는 국가계약법 시행령 제76조에 따라 사업자를 부정당업체로 등록처리 함
 - 사업 수행과정에서 취득한 자료와 정보에 대해 사업수행 중 및 사업 완료 후 외부 유출을 금지하고, 사업종료 시 정보보안담당자의 입회하에 완전 폐기 또는 반납함
 - 정보누출금지 대상 정보는 다음과 같음
 ○공사 소유 정보시스템의 내ㆍ외부 IP주소 현황
 ○세부 정보시스템 구성현황 및 정보통신망 구성도
 ○사용자계정ㆍ비밀번호 등 정보시스템 접근권한 정보
 ○정보통신망 취약점 분석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평가 결과물
 ○용역사업 결과물 및 프로그램 소스코드
 ○국가용 보안시스템 및 정보보호시스템 도입 현황
 ○침입차단시스템ㆍ방지시스템(IPS) 등 정보보호제품 및 라우터ㆍ스위치 등 네트워크 장비 설정 정보  
 ○「공공기관의 정보공개에 관한 법률」제9조제1항에 따라 비공개 대상 정보로 분류된 공사 내부문서
 ○「개인정보보호법」제2조제1호의 개인정보
 ○「보안업무규정」제4조의 비밀 및 동 시행규칙 제7조제3항의 대외비
 ○ 그 밖에 사장이 공개가 불가하다고 판단한 자료</t>
    </r>
    <phoneticPr fontId="4" type="noConversion"/>
  </si>
  <si>
    <r>
      <t>○ 보안위규 사항 - 심각 (처리기준 : 사업참여 제한, 위규자 중징계, 재발방지 조치계획 제출, 위규자 대상 특별보안교육 실시)
 - 비밀 및 대외비 급 정보 유출 및 유출 시도 : 정보시스템에 대한 구조, 데이터베이스 등의 정보 유출 / 개인정보 및 신상정보 목록 유출 / 비공개 항공사진 및 공간정보 등 비공개 정보 유출
 - 정보시스템에 대한 불법적 행위 : 관련 시스템에 대한 해킹 및 해킹 시도 / 시스템 구축 결과물에 대한 외부 유출 / 시스템 내 인위적인 악성코드 유포
○ 보안위규 사항 - 중대 (처리기준 : 위규자 중징계, 재발방지 조치계획 제출, 위규자 대상 특별보안교육 실시)
 - 비공개 정보 관리 소홀 : 비공개 정보를 책상 위 등에 방치 / 비공개 정보를 휴지통ㆍ폐지함 등에 유기 또는 이면지 활용 / 개인정보ㆍ신상정보 목록을 책상 위 등에 방치 / 기타 비공개 정보에 대한 관리소홀
 - 사무실ㆍ보호구역 보안관리 허술 : 통제구역 출입문을 개방한 채 퇴근 등 / 인가되지 않은 작업자의 내부 시스템 접근 / 통제구역 내 장비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시설 등 무단 사진촬영
 - 전산정보 보호대책 부실 : 업무망 인터넷망 혼용사용, 보안 USB 사용규정 위반 / 웹하드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P2P 등 인터넷 자료공유사이트를 활용하여 용역사업 관련 자료 수발신 / 개발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유지관리 시 원격작업 사용 / 저장된 비공개 정보 패스워드 미부여 / 인터넷망 연결 PC 하드디스크에 비공개 정보를 저장 외부용 PC를 업무망에 무단 연결 사용 / 보안관련 프로그램 강제 삭제 / 사용자 계정관리 미흡 및 오남용(시스템 불법접근 시도 등)
○ 보안위규 사항 - 보통 (처리기준 : 위규자 중징계, 위규자 사유서ㆍ경위서 징구, 위규자 대상 특별보안교육 실시)
 - 공사 제공 중요정책ㆍ민감 자료 관리 소홀: 주요 현안ㆍ보고자료를 책상위 등에 방치 / 정책ㆍ현안자료를 휴지통ㆍ폐지함 등에 유기 또는 이면지 활용 
 - 사무실 보안관리 부실 : 캐비넷ㆍ서류함ㆍ책상 등을 개방한 채 퇴근 / 출입키를 책상위 등에 방치
 - 보호구역 관리 소홀  : 통제ㆍ제한구역 출입문을 개방한 채 근무 / 보호구역내 비인가자 출입허용 등 통제 미실시
 - 전산정보 보호대책 부실 : 휴대용저장매체를 서랍ㆍ책상 위 등에 방치한 채 퇴근 / 네이트온 등 비인가 메신저 무단 사용 / PC를 켜 놓거나 보조기억 매체(CD, USB 등)를 꽂아 놓고 퇴근 / 부팅ㆍ화면보호 패스워드 미부여 또는 "1111" 등 단순숫자 부여 / PC 비밀번호를 모니터 옆 등 외부에 노출 / 비인가 보조기억매체 무단 사용
○ 보안위규 사항 - 경미 (처리기준 : 위규자 서면ㆍ구두 경고 등 문책, 위규자 사유서ㆍ경위서 징구)
 - 업무 관련서류 관리 소홀 : 진행중인 업무자료를 책상 등에 방치, 퇴근 / 복사기ㆍ인쇄기 위에 서류 방치
 - 근무자 근무상태 불량 : 각종 보안장비 운용 미숙 / 경보ㆍ보안장치 작동 불량 
 - 전산정보 보호대책 부실 : PC내 보안성이 검증되지 않은 프로그램 사용 / 보안관련 소프트웨어의 주기적 점검 위반</t>
    </r>
    <phoneticPr fontId="4" type="noConversion"/>
  </si>
  <si>
    <r>
      <t xml:space="preserve">
○ 망 접근 보안 관리
 - 용역수행사가 사용하는 전산장비는 사내 보안정책을 동일하게 적용함
 - 부팅 비밀번호, 윈도우 비밀번호, 화면보호기 비밀번호 등 비밀번호 9자리 이상 혼합 설정 및 분기별 1회 변경
 - 최신 백신프로그램 설치를 통한 주기적 검사 및 실시간 감시기능 사용
 - 사이버보안 진단의 날 “내PC지킴이” 실행을 통한 취약점 조치를 해야 함
 - 사내 상시 인력은 데스크탑을 사용하고, 용역 종료시까지 반출은 불허함
 - 용역수행사가 사용하는 PC는 인터넷 연결을 금지하되, 사업수행상 연결이 필요한 경우 공사의 보안통제하에 제한적으로 허용 가능
 - 본 용역사업을 수행하는 정보통신망에서는 P2P, 웹하드 등 인터넷 자료공유 사이트로의 접속 불가
</t>
    </r>
    <r>
      <rPr>
        <sz val="11"/>
        <color theme="1"/>
        <rFont val="KoPub돋움체 Medium"/>
        <family val="3"/>
        <charset val="129"/>
      </rPr>
      <t>○ 구간 암호화 개념 정의
 - 사용자 PC부터 웹서버구간 간 암호화방식을 적용하여 구현하여야 함
 - 정보시스템 로그인 시 정보통신망으로 전송되는 중요정보(아이디, 패스워드와 같은 로그인 정보 및 주민등록번호 등)에 대해 스니핑 등의 위협 으로부터 보호하기 위하여 SSL, TLS 등 네트워크 구간 암호화 조치 수행 하여야 함</t>
    </r>
    <r>
      <rPr>
        <sz val="11"/>
        <color theme="1"/>
        <rFont val="KoPub돋움체 Medium"/>
        <family val="1"/>
        <charset val="129"/>
      </rPr>
      <t xml:space="preserve">
</t>
    </r>
    <r>
      <rPr>
        <sz val="11"/>
        <color theme="1"/>
        <rFont val="KoPub돋움체 Medium"/>
        <family val="3"/>
        <charset val="129"/>
      </rPr>
      <t>○ 시스템 간 자료 교환 시 기밀성, 무결성, 접근제어 등을 보장하여야 함
 - 침입차단서버와 관리자PC 간 통신 시 구간 암호화, 무결성을 제공하고 관리자 IP를 등록하여 관리자PC에서만 서버에 접근 가능
 - 침입차단서버와 센서 간 통신 시 구간 암호화, 무결성을 제공</t>
    </r>
    <r>
      <rPr>
        <sz val="11"/>
        <color theme="1"/>
        <rFont val="KoPub돋움체 Medium"/>
        <family val="1"/>
        <charset val="129"/>
      </rPr>
      <t xml:space="preserve">
</t>
    </r>
    <r>
      <rPr>
        <sz val="11"/>
        <color theme="1"/>
        <rFont val="KoPub돋움체 Medium"/>
        <family val="3"/>
        <charset val="129"/>
      </rPr>
      <t>○ VPN 외부연동 보안 개념 정의
 - 외부망에서 업무시스템 접속시에는 VPN 방식 사용하므로 이를 고려하여 시스템을 구축하여야 함
○ VM 외부연동 보안 개념 정의
 - VM(장비 또는 소프트웨어)를 이용하여 외부망에서 업무시스템 접속 시에는 이를 고려하여 시스템을 구축하여야 함
○ 전송자료 암호화 개념 정의
 - 대외 연계서버와 대외기관 중계 서버 간에는 전송되는 자료는 서버용 전송자료 암호화를 적용하여 전송하여야 함
○ 서비스 이용자와 서버구간 정보 전송시 암호화 조건
 - 중요정보에 대해 스니핑 등의 위협으로부터 보호하기 위하여 SSL 등 네트워크 구간 암호화 조치를 수행하여야 함
○ 연계 데이터의 암호화
 - 관련 데이터 송수신 시 국가 표준 암호화알고리즘 등을 적용하여 데이터 암호화 및 복호화를 수행해야 함
○ 연동 보안 일반 개념 정의
 - 연계서버와 업무서버 영역 간에는 사전 정해진 데이터 형식만 전달 하도록 함</t>
    </r>
    <phoneticPr fontId="4" type="noConversion"/>
  </si>
  <si>
    <r>
      <t xml:space="preserve">○ 패스워드, 주민번호 등 각 기능에서 명시된 [중요 데이터]는 반드시 암호화하여 DB에 저장하고, 일반 사용자는 직접 DB 접근을 할 수 없음
○ 사용자 인증정보, 주민등록번호, 패스워드 등 보안이 요구되는 정보를 소스코드에 직접 하드코딩 하지 않아야 함
</t>
    </r>
    <r>
      <rPr>
        <sz val="11"/>
        <color theme="1"/>
        <rFont val="KoPub돋움체 Medium"/>
        <family val="3"/>
        <charset val="129"/>
      </rPr>
      <t xml:space="preserve"> - 장비 접속 시 사용자 인증을 수행해야 함
 - 비밀번호는 발주기관의 정책을 준수해야 함</t>
    </r>
    <r>
      <rPr>
        <sz val="11"/>
        <color theme="1"/>
        <rFont val="KoPub돋움체 Medium"/>
        <family val="1"/>
        <charset val="129"/>
      </rPr>
      <t xml:space="preserve">
○ 사용자계정 접근 관리 개념 정의 
  - 사용자를 등급 및 역할에 따라 분류하고 정보 공개 및 접속 여부 설정 가능
  - 센터/부서/권한별 그룹설정 등 사용자 계정 형태의 권한 관리 기능 필요 
  - 시스템 관리자 계정은 별도로 부여하며 인사이동 등으로 관리자가 변경될 경우 기존 관리자가 신규 관리자를 등록할 수 있도록 구현 
  - 외부사용자용 등록, 권한부여, 조회화면 기능 개발 
  - 보안 및 개인정보 보호를 위한 사용자 접근 및 정보 수정에 대한 로그 기록 및 확인 기능 필요 
  - 계약상대자는 정보시스템 사용자 계정 이용 시, 부여된 권한 이외 접근을 불허하며 부여된 패스워드는 임의 변경 및 타인에게 불허 
○ 클라이언트에 인증정보 및 세션정보를 저장하지 않는 것을 원칙으로 하고, 클라이언트에 저장할 경우 암호화 등 보호방안을 수립
</t>
    </r>
    <r>
      <rPr>
        <sz val="11"/>
        <color theme="1"/>
        <rFont val="KoPub돋움체 Medium"/>
        <family val="3"/>
        <charset val="129"/>
      </rPr>
      <t>○ SSO 인증 요구사항
 - 로그인 한번으로 전체 시스템을 사용할 수 있도록 통합인증 체계 구축
 - SSO는 ID/PW 및 PKI 인증을 지원
 - SSO는 권한관리시스템과 연계하여 사용자 권한설정을 지원
 - SSO는 내부 사용자 SSO와 외부 SSO를 구분하여 구축
 - 신규 SSO는 기존의 사용자 정보를 이용, 사용자에 대한 통합 인증 수행
 - 사용자 인증정보는 암호화 통신을 해야 하며 국제 표준 및 국가기관용 암호알고리즘을 지원
○ 정보시스템 로그인에 대한 보안조치 수행
 - 로그인 실패 횟수가 5회 이상시 접속을 제한
 - 다수가 동시에 동일한 사용자 계정으로 로그인하지 못하도록 동시 로그인 차단
○ 회원그룹 및 권한 여부에 따른 로그인 정책 및 인증방식 적용
 - 사용자를 분류하여 등급 및 역할에 따라 메뉴 및 기능이 다르도록 구현
 - 접속 계정은 IP or MAC 주소 기반으로 접근이 가능하도록 구현
 - 유휴 계정 정리 및 불법침입 방지</t>
    </r>
    <phoneticPr fontId="4" type="noConversion"/>
  </si>
  <si>
    <r>
      <t xml:space="preserve">○ 패스워드, 주민번호 등 각 기능에서 명시된 [중요 데이터]는 반드시 암호화하여 DB에 저장하고, 일반 사용자는 직접 DB 접근을 할 수 없음
○ 클라이언트에 인증정보 및 세션 정보를 저장하지 않는 것을 원칙으로 하고, 클라이언트에 저장할 경우 암호화 등 보호 방안을 수립
○ 첨부파일 등 개인정보를 비정형데이터에 대한 암호화 지원 및 적정한 권한자만 조회/활용할 수 있도록 구현
</t>
    </r>
    <r>
      <rPr>
        <sz val="11"/>
        <color theme="1"/>
        <rFont val="KoPub돋움체 Medium"/>
        <family val="3"/>
        <charset val="129"/>
      </rPr>
      <t>○ DBA (DB관리자)
 - 데이터베이스관리자를 따로 지정하여 데이터베이스 관리
 - DB 사용자를 등록하고 적절한 역할(Role)과 권한(Privilege) 부여
 - DB 사용자의 임의 접근을 차단하고, 접근을 허가한 경우라도 신청자의 업무와 관련된 DB에로의 접근만 허가
○ DB 사용자
 - DB Application사용자는 정당한 사유 없이 서버 Prompt에 접근금지
 - 업무상의 이유로 DB에 접속할 경우라도 반드시 DBA의 허가 필요
○ DB 저장 시 보안이 필요한 필드는 암·복호화
 - 적용 대상 : 암호화되어 저장해야 할 보안 필드
 - 적용 방안 : DB 보안솔루션 활용 또는 별도의 모듈로 암·복호화
○ 암호화 대상
 - DB서버 내 중요 개인정보(고유식별정보, 비밀번호) 등
 - 개인정보에 대한 접근 이력을 관리하여야 함
○ 프로그램(및 시스템) 및 DB보안
 - 발주기관의 시스템 관리자를 제외하고는 DB에 직접 접근 할 수 없다.
 - 사용자 인증정보, 패스워드 등은 소스코드에 직접 하드코딩 하지 않고 전송 중에 암호화되어 해킹 등에 노출되지 않도록 하여야 한다.
○ DB 및 APP 서버 접근제한
 - DB 및 APP 서버는 기본적으로 일반사용자의 임의 접근을 제한한다.
 - 접근을 허가한 경우라도 업무와 연관된 DB 및 APP 서버만 접근 허가가 가능하다.
 - 모든 DB 및 APP 서버의 접근은 관리자의 허가를 득한 후 사용가능하다</t>
    </r>
    <phoneticPr fontId="4" type="noConversion"/>
  </si>
  <si>
    <r>
      <t xml:space="preserve">○ 개인정보를 다루는 프로세스는 다음의 사항을 고려하여 설계 및 구현
○ 개인정보 생애 주기 단계
 - 개인정보 항목 도출 (업무설계 시) 단계에서의 관리 방안
 - 수집 (생성/제공) 단계에서의 관리 방안
 - 이용/저장 단계에서의 관리 방안
 - 제공/위탁 단계에서의 관리 방안
 - 파기 단계에서의 관리 방안
○ 세부 이행 내역은 본 기관과 개인정보/보안/업무 담당자 협의하여 정의
</t>
    </r>
    <r>
      <rPr>
        <sz val="11"/>
        <color theme="1"/>
        <rFont val="KoPub돋움체 Medium"/>
        <family val="3"/>
        <charset val="129"/>
      </rPr>
      <t>○ 개인정보 보호 개념 정의
 - 각 기능에 명시된 개인정보(이름, 사번 등)는 반드시 암호화하여 DB에 저장
 - 관리자인 경우에도 화면에 해당 정보를 그대로 노출 불가
○ 개인정보보호 강화를 위한 솔루션 적용 및 암호화 방안
 - 실명인증 또는 공공 I-PIN, 회원가입에 의한 로그인 및 회원정보 관리 시 구간 암호화(SSL) 적용
○ 소프트웨어 개발보안 준수(홈페이지 SW(웹) 개발보안 가이드라인)
○ 개인정보 안정성 확보조치
 - 접근통제 및 접근권한 제한(관리자 계정 공유금지, 안전한 비밀번호)
 - 개인정보 암호화 관리 및 모든 데이터는 표준코드 사용
 - 접속기록 보관 : 기본 2년 주기 삭제, 업무별 1년, 6개월, 3개월 차별화
 - 보안프로그램 설치 : 소스코드 보안 솔루션을 이용한 모든 웹 어플리케이션 보안약점 점검(쿠키나 세션을 이용한 정보 저장 시 암호화된 데이터이 용)
 - 개인정보제공 동의 시 선택사항, 필수사항 구분
 - 시스템 보안성을 충분히 감안하여 해킹 차단, 개인정보보호 기술을 적용하여 구축하며, 기존 웹 서비스 속도에 영향이 미치지 않도록 설계
 - 웹 보안성을 위해 프로그램(코드부분)과 데이터 영역(게시물, 첨부물 등)을 엄격히 분리 개발
 - 데이터 및 장비의 무결성 및 가용성 유지를 위해 백업정책에 참여하고 사고 발생 시 적시에 복구할 수 있도록 지원
○ 개인정보 보호대책 및 강화 방안 제시
 - 등록회원의 개인정보 보호를 위한 방안을 마련하고, 시스템으로 지원이 가능하도록 구축하고, 개인정보는 반드시 암/복호화 하여 사용
 - 개인정보 보호관련 법규, 지침, 소프트웨어 개발보안 준수
 - 개인정보 암호화 관리 및 모든 데이터는 표준코드 사용
 - 시스템 보안성을 충분히 감안하여 해킹 차단, 개인정보보호 기술을 적용하여 구축, 기존의 웹 서비스 속도에 영향이 미치지 않도록 설계
 - 모든 개인정보 유출방지를 위한 암호화 기능 구현 및 DB암호화 저장
 - 데이터 및 장비의 무결성 ACL 가용성 유지를 위해 백업정책에 참여하고 사고 발생 시 적시에 복구할 수 있도록 지원</t>
    </r>
    <phoneticPr fontId="4" type="noConversion"/>
  </si>
  <si>
    <r>
      <t xml:space="preserve">○ Web 방식의 구현방법은 보안웹서버(https://)로 구현 
○ 조회 총괄 화면에서 개인정보로 식별된 정보가 표시되지 않도록 함
○ 테스트 DB 및 목표 시스템 DB에 개인정보 데이터는 암호화하여 저장하고 필요시 복호화
○ 사용자 인증 정보, 주민등록번호, 계좌번호, 패스워드 등 주요 민감정보는 소스코드에 직접 하드코딩 하지 않도록 함
○ 외부 정보시스템과 연계하여 데이터를 송ㆍ수신할 때 데이터의 암호화 및 기록에 대한 보안방안을 제시하고 구현
○ 공공기관 개인정보보호에 관한 법률에 의거 개인정보보호지침을 준수하여야 함
</t>
    </r>
    <r>
      <rPr>
        <sz val="11"/>
        <color theme="1"/>
        <rFont val="KoPub돋움체 Medium"/>
        <family val="3"/>
        <charset val="129"/>
      </rPr>
      <t>○ 보안 기술 적용 개념 정의
 - 보안요구사항 및 시스템간의 관련성을 분석하고 적용할 보안기술, 표준, 제안 방안 등을 구체적으로 제시</t>
    </r>
    <r>
      <rPr>
        <sz val="11"/>
        <color theme="1"/>
        <rFont val="KoPub돋움체 Medium"/>
        <family val="1"/>
        <charset val="129"/>
      </rPr>
      <t xml:space="preserve">
○ 사용자, 업무부서, 시스템 권한 관리를 해야 함
○ 계정 및 메뉴그룹 매핑 관리를 해야 함
○ 관리자의 사용자계정 및 암호 등 권한 관리 및 보안 기능이 되어야 함
○ 사용자(내/외부)의 작업 종류(열람, 출력 등), 작업 시간(로그 온/오프)등을 기록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 xml:space="preserve">저장 (1년 이상) 하고 공사 보유 통합로그시스템과 연계하여 관리하여야 함
○ 본 사업의 보안성 검토 결과에 대한 보안성 조치를 완료하여야 함
 - 서비스 오픈 전 국정원 보안성 검토 결과 반영
</t>
    </r>
    <r>
      <rPr>
        <sz val="11"/>
        <color theme="1"/>
        <rFont val="KoPub돋움체 Medium"/>
        <family val="3"/>
        <charset val="129"/>
      </rPr>
      <t>○ 페이지 보안 개념 정의
 - 관리자 페이지에 SQL인젝션, 크로스사이트스크립팅, 웹 쉘 업로드, 임의파일 다운로드 등의 웹 취약점이 없어야 함
 - 관리자를 위한 별도의 클라이언트 프로그램을 제공할 경우 악용 가능한 취약점이나 기능이 없어야 함
○ 웹페이지 보안에 관한 사항
 - SQL인젝션, 크로스사이트스크립팅, 웹 쉘 업로드, 임의파일 다운로드, 디렉토리 리스팅 등의 웹 취약점이 없어야 함
 - 관리자를 위한 별도의 클라이언트 프로그램을 제공할 경우 악용 가능한 취약점이나 기능이 없어야 함
○ 서버(장비) 보안을 보장하여야 함
 - 서비스에 필요한 데몬만 구동해야 함
 - 침입차단 서버에(Appliance) 설치된 OS 및 데몬은 알려진 취약점에 대한 보안 패치가 적용되어야 함
 - 서버점검항목에서 취약한 항목이 발생하지 않도록 보안설정이 되어야함</t>
    </r>
    <phoneticPr fontId="4" type="noConversion"/>
  </si>
  <si>
    <r>
      <t>데이터베이스정의서, 엔터티(개체)정의서, 애트리뷰트(속성)정의서, 데이터모델다이어그램정의서(개념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논리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물리), 테이블정의서(SMETA 활용), 컬럼정의서(SMETA 활용)</t>
    </r>
    <phoneticPr fontId="4" type="noConversion"/>
  </si>
  <si>
    <r>
      <t>데이터 모델 검증 계획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결과</t>
    </r>
    <phoneticPr fontId="4" type="noConversion"/>
  </si>
  <si>
    <r>
      <t>데이터 값 진단 계획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결과, 업무규칙 정의서
값진단 결과서 및 업무규칙 정의서는 SDQ를 이용한 결과 제출</t>
    </r>
    <phoneticPr fontId="4" type="noConversion"/>
  </si>
  <si>
    <r>
      <t>○ 데이터 이관 계획 수립
  - 정보시스템의 데이터 특성을 고려하여 데이터 이관 방안(범위, 절차, 시기, 환경, 순서, 전략 등)을 계획하여야 함
    * 이관 우선순위 : 코드 데이터 이관 후 트랜잭션 데이터 이관 등
    ** 이관 방식 : 일괄 이관 또는 점진적 이관 등
  - 이관 데이터 GAP 분석과 데이터 매핑의 정의, 데이터 정제 및 백업과 복구 방안 수립에 대한 산출물을 포함하여야 함
  - 민감 데이터(개인정보 등)에 대한 정보보호 확보방안을 포함하여야 함
○ 이관 데이터 정제방안 수립
  - 원천 데이터 정제작업 수행 시 이관 데이터 정제작업에 대한 내용을 포함해야 함
    * 원천 데이터 정제방안 : 수작업, 데이터 매핑을 통한 규칙 적용, 프로그래밍 등
    ** 이관 데이터 정제방안 : 건별 수작업, 수정삭제재생성 등
○ 이관 데이터 정합성 검증
  - 여러 차례의 단계별 테스트를 수행하여 이관 작업 간 발생할 수 있는 모든 위험 요소를 발견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제거하고 이관 작업을 수행하여야 함
  - 매핑 정의서의 매핑 규칙에 맞게 이관되었는지 검증하여야 함
  - 기존 시스템의 값과 목표시스템의 값에 대한 정합성을 검증하여야 함
  - 단계별 이관 데이터 정합성 검증을 통하여 목표시스템 데이터의 무결성 보장방안을 제시하여야 함</t>
    </r>
    <phoneticPr fontId="4" type="noConversion"/>
  </si>
  <si>
    <r>
      <t>이관 데이터 검증 계획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결과</t>
    </r>
    <phoneticPr fontId="4" type="noConversion"/>
  </si>
  <si>
    <r>
      <t>개방데이터 서비스 연속성 확보 방안 계획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결과, 메타데이터 현행화 결과</t>
    </r>
    <phoneticPr fontId="4" type="noConversion"/>
  </si>
  <si>
    <r>
      <t>○ 시스템은 기존의 국가표준 및 정보화 기술지원기관에서 확정한 표준화 내용 준수
○ 전자정부 구축을 위한 기술 아키텍처 표준을 제시한 “행정기관 및 공공기관 정보시스템 구축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운영 기술 지침(행정 안전부 고시)” 준수 
○ 시스템은 웹 접근성 관련 표준인 ‘한국형 웹 콘텐츠 접근성 지침 2.2(KWCAG 2.2)’ 준수</t>
    </r>
    <phoneticPr fontId="4" type="noConversion"/>
  </si>
  <si>
    <r>
      <t>○ 시스템 연계(공통)
 - 우리공사 SSO(Policy Server / Safe Agent / 인증 토큰) 방식 지원
 - 조직 정보는 인사DB 연계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활용
 - 연계한 인사DB의 조직 정보 外, 사용자별 보직, 과 등의 설정 기능
 - 전자결재 / 전자계약 / SAP 와 연계해야 하는 업무는 사용자가 시스템 간 이동없이 모든 연관 업무를 본 시스템에서 등록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수정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조회 실시간 연계
. [일반 업무 연계] 전자결재 연계 : 87 건, 전자계약 연계 : 30 건, SAP 연계 : 61 건
. [수입 업무 연계] 전자결재 연계 9 건, SAP 연계 15 건
. [수출 업무 연계] 전자결재 연계 2 건, SAP 연계 9 건
. 연계 업무 대상은 사업 진행 시, 축소/확대될 수 있음)
. 전자결재 시스템 : 나눔기술 Smart Portal &amp; Smart Flow, 전자계약 시스템 : 엠로 Smart Suite, ERP : SAP ECC 6.0, 한난맵 : 브이엔지, 스마트안전 : 리스크제로
 - 전자결재 시스템 연계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처리 시, 전체 진행 단계 중 현재 단계, 첨부 문서 확인 기능 제공
 - 전자계약 시스템 연계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처리 시, 처리 상태, 진행 단계 등의 정보를 계약 건별 확인 기능 제공
○ SAP 연계
 - SAP 와 연계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처리 시, 우리 공사 SAP 연계 표준 준수 필수
 - SAP ERP(MM, FI/CO) 연동 시 단순 수량 증감을 넘어 회계전표 생성을 위한 정합성 검증 로직 포함 및 인터페이스에 실패한 재처리 모니터링 UI 제공
○ 공사 제공 상용SW(DRM, 리포팅 툴 등)의 인터페이스 구현 및 설치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운영 기술지원 협력 수행 포함
○ 관세청 UNI-PASS Open-API를 연계하여 지사/부서별 인증키 및 부호코드를 기반으로 수출입 통관 상태를 조회하고, 시스템 차단 방지를 위한 호출 주기 최적화 및 보안 관리 기능을 구현해야 함.
○ 레거시(Legacy) 시스템 연계 개발 포함 
○ 시스템 간 연계 실효성 확보
 -  유관부서와 협의하여 어떤 데이터를 주고받을지, 원데이터 보유 시스템이 어디인지에 대한 구체적 검토를 수행하고 현실 가능한 통합 프로세스를 설계해야 함.
(CNR-003) - 연계 처리를 위해 SAP 프로그램 변경 필요 시, 컨설턴트 및 개발 용역 제안 필수</t>
    </r>
    <phoneticPr fontId="4" type="noConversion"/>
  </si>
  <si>
    <t>○ SAP ECC 6.0 연계를 위한 SAP 컨설턴트 및 ABAP 개발자
 - 컨설턴트 : SAP CBO 분석 및 설계
 - ABAP 개발자 : STD, CBO 개발 및 EAI 작성</t>
    <phoneticPr fontId="4" type="noConversion"/>
  </si>
  <si>
    <t>○ AI 학습 및 맥락화를 위한 우리 공사 19개 지사 O/H 대상 설비별 유지보수 설계 표준체계에 따른 표준화 및 DB 화
 - 과거 6개년 지사별 중장기 유지보수 계획을 DB화 하여 시스템 반영
 - 작업 및 공사 설계 내역
 - DH 펌프 등 DH 설비는 O/H 대상로 포함하여 DB화 한다.
○ AI 학습 및 맥락화를 위한 우리 공사 19개 지사 고장속보/상보 대응 설비별 긴급정비 작업 내역 표준체계에 따른 표준화 및 DB 화</t>
    <phoneticPr fontId="4" type="noConversion"/>
  </si>
  <si>
    <t>○  대시보드는 [건설프로젝트, 건설자료실, 구축예정(BIM 설계), 현장기술지원(토건시설물)]으로 구성
○  건설프로젝트는 [진행 프로젝트]로만 구성
 - 진행 프로젝트는 아직 완료되지 않은 프로젝트들이며, 진행 프로젝트가 완료 처리되면 건설자료실로 이관되며(모드 이력관리)
 - AS -BUILT 도면만 스마트 도면 또는 설비마스터로 등록 및 자동 이관
 - 각 프로젝트 리스트는 건설지사 단위의 트리구조로 구성, 건설지사 클릭 시 해당 지사 하위 프로젝트가 나열되는 직관적인 리스트로 구성
 - 프로젝트 리스트 트리구조는 원하는 구성으로 수정가능
 - 특정 프로젝트 선택 시 해당 프로젝트의 메인화면 팝업으로 이동
 - 품질관리는 건설용으로 함, 지사 유지보수용은 별도 카테고리로 구성됨
○ 건설자료실은 [완료 프로젝트]로 구성
 - 지사별로 표기하며, 년도별로 표기 요망, 해당 건 클릭 시 팝업으로 업무 처리
○ 구축예정(BIM 설계) 는 추후 건설처 의견 반영후 구성
○ 현장기술지원(토건시설물)
 - 토건시설물은 건설관리부 토건시설물 유지보수 기술지원 시행에 해당하며, 
 - 기술지원(공법선정, 예상공사비, 예산협조 등) 요청 등록 및 기술지원서 의견 송부, 시설물 유지관리 기록대장으로 구성 (별도 양식 제공)
 - 품질관리는 지사 내 입회요청 및 입회결과로 구성 (별도 양식 제공)
    [(품질관리(건설용) 및 품질관리(건설용) -현황 내용 참조] -&gt; PIMS 에서 자동 연계</t>
    <phoneticPr fontId="4" type="noConversion"/>
  </si>
  <si>
    <t>○ EDCL, VDCL Detail Setup
 - 설계분야 및 Vender Print 성과품별 Document No., Name, Plan 설정하여 DCL 정의
 - 문서분류코드, 분야명, 문서번호, 문서제목, 문서크기, 업체명, Class, 제출계획일 등 입력 기능
 - 템플릿 Export/Import를 통한 입력 기능
 - 시스템에서 수정한 DCL을 Export/Import를 통한 입력 기능
 - DCL 조회/추가/수정/삭제/다중선택 등의 기능
 - DCL 삭제 시 결재 진행 중인 문서가 있는 경우 해당 문서의 정보 조회 기능
○ Revision
 - Revision Set(Revision No. Rule)을 추가/수정/삭제 기능
 - Revision Set에 Revision을 추가할 경우, Revision Set 지정 및 Revision No. 추가 기능
○ Stage
 - 성과품 제출 Stage를 정의하고, Stage별 Revision Set을 정의 기능
 - Revision Set에 Revision을 추가할 경우, Revision Set 지정 및 Revision No. 추가 기능
○ Class
 - Class를 추가/수정/삭제 기능
 - Class 추가 시 Type, 각 Stage의 지정 기능
○ Process Code
 - Process Code를 추가/수정/삭제기능
 - Process Code 추가 시 Code, Code Name, Weight의 지정 기능
(CNR-002) - 건설업무지침서에 맞게 DCL 표준화</t>
    <phoneticPr fontId="4" type="noConversion"/>
  </si>
  <si>
    <r>
      <t xml:space="preserve">○ 현황
 - 도면 지연 리스트 조회 기능
 - 알람 기능 추가 - 자료 검토(14일, 토,일, 공휴일 산입하지 않고) 15일째부터 알람 ON
 - 지연 리스트의 Export 기능
○ 검토
 - PDF, Excel, Word, 한글 등으로 저장 기능
 - 페이지 이동, 확대, 텍스트 검색 기능
 - Real Time Annotate Collaboration 기능 추가
  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 xml:space="preserve"> 단일 파일(성과물/VP) 동시에 검토의견 입력
  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 xml:space="preserve"> 공통의견 한번 입력으로 전체파일에 반영, PDF로 출력
  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 xml:space="preserve"> 검토의견을 TEXT 형태로 입력 / 실시간으로 입력창 생성</t>
    </r>
    <phoneticPr fontId="4" type="noConversion"/>
  </si>
  <si>
    <r>
      <t>주간/월간 보고서, 중간</t>
    </r>
    <r>
      <rPr>
        <sz val="11"/>
        <color theme="1"/>
        <rFont val="Calibri"/>
        <family val="1"/>
      </rPr>
      <t>·</t>
    </r>
    <r>
      <rPr>
        <sz val="11"/>
        <color theme="1"/>
        <rFont val="KoPub돋움체 Medium"/>
        <family val="1"/>
        <charset val="129"/>
      </rPr>
      <t>최종 보고서 등 회의록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</si>
</sst>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KoPub돋움체 Medium"/>
      <family val="1"/>
      <charset val="129"/>
    </font>
    <font>
      <sz val="11"/>
      <color theme="1"/>
      <name val="Calibri"/>
      <family val="1"/>
    </font>
    <font>
      <sz val="11"/>
      <name val="KoPub돋움체 Medium"/>
      <family val="1"/>
      <charset val="129"/>
    </font>
    <font>
      <sz val="11"/>
      <name val="KoPub돋움체 Bold"/>
      <family val="1"/>
      <charset val="129"/>
    </font>
    <font>
      <sz val="8"/>
      <name val="맑은 고딕"/>
      <family val="2"/>
      <charset val="129"/>
      <scheme val="minor"/>
    </font>
    <font>
      <sz val="20"/>
      <color theme="1"/>
      <name val="G마켓 산스 TTF Bold"/>
      <family val="3"/>
      <charset val="129"/>
    </font>
    <font>
      <sz val="16"/>
      <color theme="1"/>
      <name val="G마켓 산스 TTF Bold"/>
      <family val="3"/>
      <charset val="129"/>
    </font>
    <font>
      <sz val="11"/>
      <color theme="1"/>
      <name val="KoPub돋움체 Medium"/>
      <family val="3"/>
      <charset val="129"/>
    </font>
    <font>
      <sz val="11"/>
      <color theme="1"/>
      <name val="Noto Sans KR"/>
      <family val="3"/>
      <charset val="129"/>
    </font>
    <font>
      <sz val="11"/>
      <color theme="1"/>
      <name val="맑은 고딕"/>
      <family val="2"/>
      <scheme val="minor"/>
    </font>
    <font>
      <sz val="10"/>
      <name val="KoPub돋움체 Medium"/>
      <family val="1"/>
      <charset val="129"/>
    </font>
    <font>
      <sz val="10"/>
      <color theme="0"/>
      <name val="KoPub돋움체 Bold"/>
      <family val="1"/>
      <charset val="129"/>
    </font>
    <font>
      <sz val="10"/>
      <color rgb="FF000000"/>
      <name val="KoPub돋움체 Light"/>
      <family val="1"/>
      <charset val="129"/>
    </font>
    <font>
      <sz val="10"/>
      <color theme="1"/>
      <name val="KoPub돋움체 Medium"/>
      <family val="1"/>
      <charset val="129"/>
    </font>
    <font>
      <sz val="10"/>
      <color theme="0"/>
      <name val="KoPub돋움체 Medium"/>
      <family val="1"/>
      <charset val="129"/>
    </font>
    <font>
      <sz val="11"/>
      <color theme="0"/>
      <name val="KoPub돋움체 Medium"/>
      <family val="1"/>
      <charset val="129"/>
    </font>
    <font>
      <sz val="26"/>
      <color theme="1"/>
      <name val="HY헤드라인M"/>
      <family val="1"/>
      <charset val="129"/>
    </font>
    <font>
      <b/>
      <sz val="11"/>
      <color theme="1"/>
      <name val="KoPub돋움체 Light"/>
      <family val="1"/>
      <charset val="129"/>
    </font>
    <font>
      <sz val="11"/>
      <color theme="1"/>
      <name val="KoPub돋움체 Light"/>
      <family val="1"/>
      <charset val="129"/>
    </font>
    <font>
      <sz val="11"/>
      <name val="KoPub돋움체 Light"/>
      <family val="1"/>
      <charset val="129"/>
    </font>
    <font>
      <sz val="11"/>
      <color rgb="FF000000"/>
      <name val="KoPub돋움체 Light"/>
      <family val="1"/>
      <charset val="129"/>
    </font>
    <font>
      <sz val="9"/>
      <color theme="1"/>
      <name val="KoPub돋움체 Light"/>
      <family val="1"/>
      <charset val="129"/>
    </font>
    <font>
      <sz val="11"/>
      <color theme="1"/>
      <name val="MS Gothic"/>
      <family val="3"/>
      <charset val="128"/>
    </font>
    <font>
      <sz val="9"/>
      <color theme="1"/>
      <name val="KoPub돋움체 Medium"/>
      <family val="1"/>
      <charset val="129"/>
    </font>
    <font>
      <sz val="9"/>
      <color theme="0"/>
      <name val="KoPub돋움체 Medium"/>
      <family val="1"/>
      <charset val="129"/>
    </font>
    <font>
      <sz val="10"/>
      <color theme="0"/>
      <name val="Calibri"/>
      <family val="1"/>
    </font>
    <font>
      <sz val="20"/>
      <color theme="1"/>
      <name val="KoPub돋움체 Bold"/>
      <family val="1"/>
      <charset val="129"/>
    </font>
    <font>
      <sz val="11"/>
      <color theme="1"/>
      <name val="KoPub돋움체 Bold"/>
      <family val="1"/>
      <charset val="129"/>
    </font>
    <font>
      <sz val="11"/>
      <color theme="1"/>
      <name val="바탕"/>
      <family val="1"/>
      <charset val="129"/>
    </font>
    <font>
      <sz val="10"/>
      <color theme="1"/>
      <name val="Calibri"/>
      <family val="1"/>
    </font>
    <font>
      <sz val="7"/>
      <color theme="1"/>
      <name val="KoPub돋움체 Mediu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41" fontId="14" fillId="0" borderId="0" applyFont="0" applyFill="0" applyBorder="0" applyAlignment="0" applyProtection="0">
      <alignment vertical="center"/>
    </xf>
  </cellStyleXfs>
  <cellXfs count="142">
    <xf numFmtId="0" fontId="0" fillId="0" borderId="0" xfId="0"/>
    <xf numFmtId="0" fontId="7" fillId="0" borderId="0" xfId="0" applyFont="1" applyAlignment="1">
      <alignment horizontal="left" vertical="center"/>
    </xf>
    <xf numFmtId="0" fontId="5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" fillId="3" borderId="24" xfId="2" applyFill="1" applyBorder="1">
      <alignment vertical="center"/>
    </xf>
    <xf numFmtId="0" fontId="2" fillId="3" borderId="25" xfId="2" applyFill="1" applyBorder="1">
      <alignment vertical="center"/>
    </xf>
    <xf numFmtId="0" fontId="2" fillId="3" borderId="26" xfId="2" applyFill="1" applyBorder="1">
      <alignment vertical="center"/>
    </xf>
    <xf numFmtId="0" fontId="2" fillId="0" borderId="0" xfId="2">
      <alignment vertical="center"/>
    </xf>
    <xf numFmtId="0" fontId="2" fillId="3" borderId="27" xfId="2" applyFill="1" applyBorder="1">
      <alignment vertical="center"/>
    </xf>
    <xf numFmtId="0" fontId="2" fillId="3" borderId="0" xfId="2" applyFill="1">
      <alignment vertical="center"/>
    </xf>
    <xf numFmtId="0" fontId="2" fillId="3" borderId="28" xfId="2" applyFill="1" applyBorder="1">
      <alignment vertical="center"/>
    </xf>
    <xf numFmtId="0" fontId="2" fillId="3" borderId="31" xfId="2" applyFill="1" applyBorder="1">
      <alignment vertical="center"/>
    </xf>
    <xf numFmtId="0" fontId="2" fillId="3" borderId="32" xfId="2" applyFill="1" applyBorder="1">
      <alignment vertical="center"/>
    </xf>
    <xf numFmtId="0" fontId="2" fillId="3" borderId="33" xfId="2" applyFill="1" applyBorder="1">
      <alignment vertical="center"/>
    </xf>
    <xf numFmtId="0" fontId="1" fillId="0" borderId="0" xfId="2" applyFont="1">
      <alignment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 inden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left" vertical="center" wrapText="1" inden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18" fillId="3" borderId="3" xfId="1" applyFont="1" applyFill="1" applyBorder="1" applyAlignment="1">
      <alignment vertical="center" wrapText="1"/>
    </xf>
    <xf numFmtId="0" fontId="18" fillId="2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1" xfId="1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9" fillId="3" borderId="0" xfId="1" applyFont="1" applyFill="1" applyBorder="1" applyAlignment="1">
      <alignment vertical="center" wrapText="1"/>
    </xf>
    <xf numFmtId="0" fontId="19" fillId="3" borderId="0" xfId="1" applyFont="1" applyFill="1" applyBorder="1" applyAlignment="1">
      <alignment horizontal="left" vertical="center" wrapText="1"/>
    </xf>
    <xf numFmtId="0" fontId="18" fillId="3" borderId="29" xfId="1" applyFont="1" applyFill="1" applyBorder="1" applyAlignment="1">
      <alignment horizontal="left" vertical="center" wrapText="1"/>
    </xf>
    <xf numFmtId="0" fontId="18" fillId="3" borderId="22" xfId="1" applyFont="1" applyFill="1" applyBorder="1" applyAlignment="1">
      <alignment horizontal="left" vertical="center" wrapText="1"/>
    </xf>
    <xf numFmtId="0" fontId="18" fillId="3" borderId="35" xfId="1" applyFont="1" applyFill="1" applyBorder="1" applyAlignment="1">
      <alignment horizontal="left" vertical="center" wrapText="1"/>
    </xf>
    <xf numFmtId="0" fontId="20" fillId="0" borderId="0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8" fillId="2" borderId="1" xfId="1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3" fillId="0" borderId="1" xfId="0" applyFont="1" applyBorder="1" applyAlignment="1">
      <alignment horizontal="left" vertical="center" wrapText="1" shrinkToFit="1"/>
    </xf>
    <xf numFmtId="0" fontId="23" fillId="0" borderId="1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23" fillId="0" borderId="7" xfId="0" applyFont="1" applyBorder="1" applyAlignment="1">
      <alignment vertical="center"/>
    </xf>
    <xf numFmtId="0" fontId="25" fillId="0" borderId="8" xfId="0" applyFont="1" applyBorder="1" applyAlignment="1">
      <alignment horizontal="left" vertical="center" wrapText="1"/>
    </xf>
    <xf numFmtId="0" fontId="23" fillId="0" borderId="8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8" fillId="3" borderId="0" xfId="1" applyFont="1" applyFill="1" applyBorder="1" applyAlignment="1">
      <alignment vertical="center" wrapText="1"/>
    </xf>
    <xf numFmtId="0" fontId="11" fillId="3" borderId="29" xfId="2" applyFont="1" applyFill="1" applyBorder="1" applyAlignment="1">
      <alignment horizontal="center" vertical="center" wrapText="1"/>
    </xf>
    <xf numFmtId="0" fontId="11" fillId="3" borderId="22" xfId="2" applyFont="1" applyFill="1" applyBorder="1" applyAlignment="1">
      <alignment horizontal="center" vertical="center" wrapText="1"/>
    </xf>
    <xf numFmtId="0" fontId="11" fillId="3" borderId="20" xfId="2" applyFont="1" applyFill="1" applyBorder="1" applyAlignment="1">
      <alignment horizontal="center" vertical="center" wrapText="1"/>
    </xf>
    <xf numFmtId="0" fontId="11" fillId="3" borderId="18" xfId="2" applyFont="1" applyFill="1" applyBorder="1" applyAlignment="1">
      <alignment horizontal="center" vertical="center" wrapText="1"/>
    </xf>
    <xf numFmtId="0" fontId="11" fillId="3" borderId="0" xfId="2" applyFont="1" applyFill="1" applyAlignment="1">
      <alignment horizontal="center" vertical="center" wrapText="1"/>
    </xf>
    <xf numFmtId="0" fontId="11" fillId="3" borderId="19" xfId="2" applyFont="1" applyFill="1" applyBorder="1" applyAlignment="1">
      <alignment horizontal="center" vertical="center" wrapText="1"/>
    </xf>
    <xf numFmtId="0" fontId="11" fillId="3" borderId="30" xfId="2" applyFont="1" applyFill="1" applyBorder="1" applyAlignment="1">
      <alignment horizontal="center" vertical="center" wrapText="1"/>
    </xf>
    <xf numFmtId="0" fontId="11" fillId="3" borderId="23" xfId="2" applyFont="1" applyFill="1" applyBorder="1" applyAlignment="1">
      <alignment horizontal="center" vertical="center" wrapText="1"/>
    </xf>
    <xf numFmtId="0" fontId="11" fillId="3" borderId="21" xfId="2" applyFont="1" applyFill="1" applyBorder="1" applyAlignment="1">
      <alignment horizontal="center" vertical="center" wrapText="1"/>
    </xf>
    <xf numFmtId="0" fontId="11" fillId="3" borderId="0" xfId="2" applyFont="1" applyFill="1" applyAlignment="1">
      <alignment horizontal="center" vertical="center"/>
    </xf>
    <xf numFmtId="0" fontId="10" fillId="3" borderId="29" xfId="2" applyFont="1" applyFill="1" applyBorder="1" applyAlignment="1">
      <alignment horizontal="center" vertical="center" wrapText="1"/>
    </xf>
    <xf numFmtId="0" fontId="10" fillId="3" borderId="22" xfId="2" applyFont="1" applyFill="1" applyBorder="1" applyAlignment="1">
      <alignment horizontal="center" vertical="center" wrapText="1"/>
    </xf>
    <xf numFmtId="0" fontId="10" fillId="3" borderId="20" xfId="2" applyFont="1" applyFill="1" applyBorder="1" applyAlignment="1">
      <alignment horizontal="center" vertical="center" wrapText="1"/>
    </xf>
    <xf numFmtId="0" fontId="10" fillId="3" borderId="18" xfId="2" applyFont="1" applyFill="1" applyBorder="1" applyAlignment="1">
      <alignment horizontal="center" vertical="center" wrapText="1"/>
    </xf>
    <xf numFmtId="0" fontId="10" fillId="3" borderId="0" xfId="2" applyFont="1" applyFill="1" applyAlignment="1">
      <alignment horizontal="center" vertical="center" wrapText="1"/>
    </xf>
    <xf numFmtId="0" fontId="10" fillId="3" borderId="19" xfId="2" applyFont="1" applyFill="1" applyBorder="1" applyAlignment="1">
      <alignment horizontal="center" vertical="center" wrapText="1"/>
    </xf>
    <xf numFmtId="0" fontId="10" fillId="3" borderId="30" xfId="2" applyFont="1" applyFill="1" applyBorder="1" applyAlignment="1">
      <alignment horizontal="center" vertical="center" wrapText="1"/>
    </xf>
    <xf numFmtId="0" fontId="10" fillId="3" borderId="23" xfId="2" applyFont="1" applyFill="1" applyBorder="1" applyAlignment="1">
      <alignment horizontal="center" vertical="center" wrapText="1"/>
    </xf>
    <xf numFmtId="0" fontId="10" fillId="3" borderId="21" xfId="2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left" vertical="center" wrapText="1"/>
    </xf>
    <xf numFmtId="0" fontId="18" fillId="3" borderId="12" xfId="1" applyFont="1" applyFill="1" applyBorder="1" applyAlignment="1">
      <alignment horizontal="left" vertical="center" wrapText="1"/>
    </xf>
    <xf numFmtId="0" fontId="18" fillId="3" borderId="13" xfId="1" applyFont="1" applyFill="1" applyBorder="1" applyAlignment="1">
      <alignment horizontal="left" vertical="center" wrapText="1"/>
    </xf>
    <xf numFmtId="0" fontId="18" fillId="3" borderId="1" xfId="1" applyFont="1" applyFill="1" applyBorder="1" applyAlignment="1">
      <alignment horizontal="left" vertical="center" wrapText="1"/>
    </xf>
    <xf numFmtId="0" fontId="18" fillId="3" borderId="6" xfId="1" applyFont="1" applyFill="1" applyBorder="1" applyAlignment="1">
      <alignment horizontal="left" vertical="center" wrapText="1"/>
    </xf>
    <xf numFmtId="0" fontId="18" fillId="2" borderId="36" xfId="1" applyFont="1" applyFill="1" applyBorder="1" applyAlignment="1">
      <alignment horizontal="center" vertical="center" wrapText="1"/>
    </xf>
    <xf numFmtId="0" fontId="18" fillId="2" borderId="17" xfId="1" applyFont="1" applyFill="1" applyBorder="1" applyAlignment="1">
      <alignment horizontal="center" vertical="center" wrapText="1"/>
    </xf>
    <xf numFmtId="0" fontId="18" fillId="2" borderId="7" xfId="1" applyFont="1" applyFill="1" applyBorder="1" applyAlignment="1">
      <alignment horizontal="center" vertical="center"/>
    </xf>
    <xf numFmtId="0" fontId="18" fillId="2" borderId="8" xfId="1" applyFont="1" applyFill="1" applyBorder="1" applyAlignment="1">
      <alignment horizontal="center" vertical="center"/>
    </xf>
    <xf numFmtId="0" fontId="18" fillId="2" borderId="5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18" fillId="2" borderId="3" xfId="1" applyFont="1" applyFill="1" applyBorder="1" applyAlignment="1">
      <alignment horizontal="center" vertical="center"/>
    </xf>
    <xf numFmtId="0" fontId="18" fillId="2" borderId="5" xfId="1" applyFont="1" applyFill="1" applyBorder="1" applyAlignment="1">
      <alignment horizontal="center" vertical="center" wrapText="1"/>
    </xf>
    <xf numFmtId="0" fontId="18" fillId="3" borderId="14" xfId="1" applyFont="1" applyFill="1" applyBorder="1" applyAlignment="1">
      <alignment horizontal="left" vertical="center" wrapText="1"/>
    </xf>
    <xf numFmtId="0" fontId="18" fillId="3" borderId="15" xfId="1" applyFont="1" applyFill="1" applyBorder="1" applyAlignment="1">
      <alignment horizontal="left" vertical="center" wrapText="1"/>
    </xf>
    <xf numFmtId="0" fontId="18" fillId="3" borderId="16" xfId="1" applyFont="1" applyFill="1" applyBorder="1" applyAlignment="1">
      <alignment horizontal="left" vertical="center" wrapText="1"/>
    </xf>
    <xf numFmtId="0" fontId="28" fillId="3" borderId="11" xfId="1" applyFont="1" applyFill="1" applyBorder="1" applyAlignment="1">
      <alignment horizontal="left" vertical="center" wrapText="1"/>
    </xf>
    <xf numFmtId="0" fontId="28" fillId="3" borderId="12" xfId="1" applyFont="1" applyFill="1" applyBorder="1" applyAlignment="1">
      <alignment horizontal="left" vertical="center" wrapText="1"/>
    </xf>
    <xf numFmtId="0" fontId="28" fillId="3" borderId="13" xfId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31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41" fontId="5" fillId="3" borderId="1" xfId="3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vertical="top" wrapText="1"/>
    </xf>
    <xf numFmtId="0" fontId="5" fillId="3" borderId="1" xfId="0" quotePrefix="1" applyFont="1" applyFill="1" applyBorder="1" applyAlignment="1">
      <alignment vertical="center" wrapText="1"/>
    </xf>
    <xf numFmtId="0" fontId="5" fillId="3" borderId="1" xfId="0" quotePrefix="1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 wrapText="1"/>
    </xf>
    <xf numFmtId="0" fontId="32" fillId="6" borderId="9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32" fillId="6" borderId="10" xfId="0" applyFont="1" applyFill="1" applyBorder="1" applyAlignment="1">
      <alignment horizontal="center" vertical="center" wrapText="1"/>
    </xf>
  </cellXfs>
  <cellStyles count="4">
    <cellStyle name="쉼표 [0]" xfId="3" builtinId="6"/>
    <cellStyle name="표준" xfId="0" builtinId="0"/>
    <cellStyle name="표준 2" xfId="2" xr:uid="{00000000-0005-0000-0000-000002000000}"/>
    <cellStyle name="표준 7" xfId="1" xr:uid="{00000000-0005-0000-0000-000003000000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198783</xdr:colOff>
      <xdr:row>1</xdr:row>
      <xdr:rowOff>35313</xdr:rowOff>
    </xdr:from>
    <xdr:to>
      <xdr:col>8</xdr:col>
      <xdr:colOff>254485</xdr:colOff>
      <xdr:row>2</xdr:row>
      <xdr:rowOff>136071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8926" y="239420"/>
          <a:ext cx="2123988" cy="30486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24913</xdr:colOff>
      <xdr:row>31</xdr:row>
      <xdr:rowOff>152601</xdr:rowOff>
    </xdr:from>
    <xdr:to>
      <xdr:col>5</xdr:col>
      <xdr:colOff>553610</xdr:colOff>
      <xdr:row>33</xdr:row>
      <xdr:rowOff>171709</xdr:rowOff>
    </xdr:to>
    <xdr:pic>
      <xdr:nvPicPr>
        <xdr:cNvPr id="3" name="_x42470108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788" y="6648651"/>
          <a:ext cx="2147947" cy="438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K39"/>
  <sheetViews>
    <sheetView view="pageBreakPreview" zoomScaleNormal="70" zoomScaleSheetLayoutView="100" workbookViewId="0">
      <selection activeCell="O20" sqref="O20"/>
    </sheetView>
  </sheetViews>
  <sheetFormatPr defaultColWidth="8.75" defaultRowHeight="16.5" x14ac:dyDescent="0.3"/>
  <cols>
    <col min="1" max="2" width="5.625" style="8" customWidth="1"/>
    <col min="3" max="7" width="10.625" style="8" customWidth="1"/>
    <col min="8" max="9" width="5.625" style="8" customWidth="1"/>
    <col min="10" max="16384" width="8.75" style="8"/>
  </cols>
  <sheetData>
    <row r="1" spans="1:11" x14ac:dyDescent="0.3">
      <c r="A1" s="5"/>
      <c r="B1" s="6"/>
      <c r="C1" s="6"/>
      <c r="D1" s="6"/>
      <c r="E1" s="6"/>
      <c r="F1" s="6"/>
      <c r="G1" s="6"/>
      <c r="H1" s="6"/>
      <c r="I1" s="7"/>
    </row>
    <row r="2" spans="1:11" x14ac:dyDescent="0.3">
      <c r="A2" s="9"/>
      <c r="B2" s="10"/>
      <c r="C2" s="10"/>
      <c r="D2" s="10"/>
      <c r="E2" s="10"/>
      <c r="F2" s="10"/>
      <c r="G2" s="10"/>
      <c r="H2" s="10"/>
      <c r="I2" s="11"/>
    </row>
    <row r="3" spans="1:11" x14ac:dyDescent="0.3">
      <c r="A3" s="9"/>
      <c r="B3" s="10"/>
      <c r="C3" s="10"/>
      <c r="D3" s="10"/>
      <c r="E3" s="10"/>
      <c r="F3" s="10"/>
      <c r="G3" s="10"/>
      <c r="H3" s="10"/>
      <c r="I3" s="11"/>
    </row>
    <row r="4" spans="1:11" x14ac:dyDescent="0.3">
      <c r="A4" s="9"/>
      <c r="B4" s="10"/>
      <c r="C4" s="10"/>
      <c r="D4" s="10"/>
      <c r="E4" s="10"/>
      <c r="F4" s="10"/>
      <c r="G4" s="10"/>
      <c r="H4" s="10"/>
      <c r="I4" s="11"/>
    </row>
    <row r="5" spans="1:11" x14ac:dyDescent="0.3">
      <c r="A5" s="9"/>
      <c r="B5" s="10"/>
      <c r="C5" s="10"/>
      <c r="D5" s="10"/>
      <c r="E5" s="10"/>
      <c r="F5" s="10"/>
      <c r="G5" s="10"/>
      <c r="H5" s="10"/>
      <c r="I5" s="11"/>
    </row>
    <row r="6" spans="1:11" x14ac:dyDescent="0.3">
      <c r="A6" s="9"/>
      <c r="B6" s="10"/>
      <c r="C6" s="10"/>
      <c r="D6" s="10"/>
      <c r="E6" s="10"/>
      <c r="F6" s="10"/>
      <c r="G6" s="10"/>
      <c r="H6" s="10"/>
      <c r="I6" s="11"/>
    </row>
    <row r="7" spans="1:11" x14ac:dyDescent="0.3">
      <c r="A7" s="9"/>
      <c r="B7" s="10"/>
      <c r="C7" s="10"/>
      <c r="D7" s="10"/>
      <c r="E7" s="10"/>
      <c r="F7" s="10"/>
      <c r="G7" s="10"/>
      <c r="H7" s="10"/>
      <c r="I7" s="11"/>
    </row>
    <row r="8" spans="1:11" x14ac:dyDescent="0.3">
      <c r="A8" s="9"/>
      <c r="B8" s="10"/>
      <c r="C8" s="10"/>
      <c r="D8" s="10"/>
      <c r="E8" s="10"/>
      <c r="F8" s="10"/>
      <c r="G8" s="10"/>
      <c r="H8" s="10"/>
      <c r="I8" s="11"/>
    </row>
    <row r="9" spans="1:11" x14ac:dyDescent="0.3">
      <c r="A9" s="9"/>
      <c r="B9" s="10"/>
      <c r="C9" s="10"/>
      <c r="D9" s="10"/>
      <c r="E9" s="10"/>
      <c r="F9" s="10"/>
      <c r="G9" s="10"/>
      <c r="H9" s="10"/>
      <c r="I9" s="11"/>
    </row>
    <row r="10" spans="1:11" x14ac:dyDescent="0.3">
      <c r="A10" s="9"/>
      <c r="B10" s="10"/>
      <c r="C10" s="10"/>
      <c r="D10" s="10"/>
      <c r="E10" s="10"/>
      <c r="F10" s="10"/>
      <c r="G10" s="10"/>
      <c r="H10" s="10"/>
      <c r="I10" s="11"/>
      <c r="K10" s="15"/>
    </row>
    <row r="11" spans="1:11" ht="16.5" customHeight="1" x14ac:dyDescent="0.3">
      <c r="A11" s="9"/>
      <c r="B11" s="76" t="s">
        <v>1029</v>
      </c>
      <c r="C11" s="77"/>
      <c r="D11" s="77"/>
      <c r="E11" s="77"/>
      <c r="F11" s="77"/>
      <c r="G11" s="77"/>
      <c r="H11" s="78"/>
      <c r="I11" s="11"/>
    </row>
    <row r="12" spans="1:11" ht="16.5" customHeight="1" x14ac:dyDescent="0.3">
      <c r="A12" s="9"/>
      <c r="B12" s="79"/>
      <c r="C12" s="80"/>
      <c r="D12" s="80"/>
      <c r="E12" s="80"/>
      <c r="F12" s="80"/>
      <c r="G12" s="80"/>
      <c r="H12" s="81"/>
      <c r="I12" s="11"/>
    </row>
    <row r="13" spans="1:11" ht="16.5" customHeight="1" x14ac:dyDescent="0.3">
      <c r="A13" s="9"/>
      <c r="B13" s="79"/>
      <c r="C13" s="80"/>
      <c r="D13" s="80"/>
      <c r="E13" s="80"/>
      <c r="F13" s="80"/>
      <c r="G13" s="80"/>
      <c r="H13" s="81"/>
      <c r="I13" s="11"/>
    </row>
    <row r="14" spans="1:11" ht="16.5" customHeight="1" x14ac:dyDescent="0.3">
      <c r="A14" s="9"/>
      <c r="B14" s="79"/>
      <c r="C14" s="80"/>
      <c r="D14" s="80"/>
      <c r="E14" s="80"/>
      <c r="F14" s="80"/>
      <c r="G14" s="80"/>
      <c r="H14" s="81"/>
      <c r="I14" s="11"/>
    </row>
    <row r="15" spans="1:11" ht="16.5" customHeight="1" x14ac:dyDescent="0.3">
      <c r="A15" s="9"/>
      <c r="B15" s="82"/>
      <c r="C15" s="83"/>
      <c r="D15" s="83"/>
      <c r="E15" s="83"/>
      <c r="F15" s="83"/>
      <c r="G15" s="83"/>
      <c r="H15" s="84"/>
      <c r="I15" s="11"/>
    </row>
    <row r="16" spans="1:11" x14ac:dyDescent="0.3">
      <c r="A16" s="9"/>
      <c r="B16" s="10"/>
      <c r="C16" s="10"/>
      <c r="D16" s="10"/>
      <c r="E16" s="10"/>
      <c r="F16" s="10"/>
      <c r="G16" s="10"/>
      <c r="H16" s="10"/>
      <c r="I16" s="11"/>
    </row>
    <row r="17" spans="1:9" x14ac:dyDescent="0.3">
      <c r="A17" s="9"/>
      <c r="B17" s="10"/>
      <c r="C17" s="10"/>
      <c r="D17" s="10"/>
      <c r="E17" s="10"/>
      <c r="F17" s="10"/>
      <c r="G17" s="10"/>
      <c r="H17" s="10"/>
      <c r="I17" s="11"/>
    </row>
    <row r="18" spans="1:9" ht="16.899999999999999" customHeight="1" x14ac:dyDescent="0.3">
      <c r="A18" s="9"/>
      <c r="B18" s="66" t="s">
        <v>1028</v>
      </c>
      <c r="C18" s="67"/>
      <c r="D18" s="67"/>
      <c r="E18" s="67"/>
      <c r="F18" s="67"/>
      <c r="G18" s="67"/>
      <c r="H18" s="68"/>
      <c r="I18" s="11"/>
    </row>
    <row r="19" spans="1:9" ht="16.899999999999999" customHeight="1" x14ac:dyDescent="0.3">
      <c r="A19" s="9"/>
      <c r="B19" s="69"/>
      <c r="C19" s="70"/>
      <c r="D19" s="70"/>
      <c r="E19" s="70"/>
      <c r="F19" s="70"/>
      <c r="G19" s="70"/>
      <c r="H19" s="71"/>
      <c r="I19" s="11"/>
    </row>
    <row r="20" spans="1:9" ht="16.899999999999999" customHeight="1" x14ac:dyDescent="0.3">
      <c r="A20" s="9"/>
      <c r="B20" s="69"/>
      <c r="C20" s="70"/>
      <c r="D20" s="70"/>
      <c r="E20" s="70"/>
      <c r="F20" s="70"/>
      <c r="G20" s="70"/>
      <c r="H20" s="71"/>
      <c r="I20" s="11"/>
    </row>
    <row r="21" spans="1:9" ht="16.899999999999999" customHeight="1" x14ac:dyDescent="0.3">
      <c r="A21" s="9"/>
      <c r="B21" s="72"/>
      <c r="C21" s="73"/>
      <c r="D21" s="73"/>
      <c r="E21" s="73"/>
      <c r="F21" s="73"/>
      <c r="G21" s="73"/>
      <c r="H21" s="74"/>
      <c r="I21" s="11"/>
    </row>
    <row r="22" spans="1:9" x14ac:dyDescent="0.3">
      <c r="A22" s="9"/>
      <c r="B22" s="10"/>
      <c r="C22" s="10"/>
      <c r="D22" s="10"/>
      <c r="E22" s="10"/>
      <c r="F22" s="10"/>
      <c r="G22" s="10"/>
      <c r="H22" s="10"/>
      <c r="I22" s="11"/>
    </row>
    <row r="23" spans="1:9" x14ac:dyDescent="0.3">
      <c r="A23" s="9"/>
      <c r="B23" s="10"/>
      <c r="C23" s="10"/>
      <c r="D23" s="10"/>
      <c r="E23" s="10"/>
      <c r="F23" s="10"/>
      <c r="G23" s="10"/>
      <c r="H23" s="10"/>
      <c r="I23" s="11"/>
    </row>
    <row r="24" spans="1:9" x14ac:dyDescent="0.3">
      <c r="A24" s="9"/>
      <c r="B24" s="10"/>
      <c r="C24" s="10"/>
      <c r="D24" s="10"/>
      <c r="E24" s="10"/>
      <c r="F24" s="10"/>
      <c r="G24" s="10"/>
      <c r="H24" s="10"/>
      <c r="I24" s="11"/>
    </row>
    <row r="25" spans="1:9" x14ac:dyDescent="0.3">
      <c r="A25" s="9"/>
      <c r="B25" s="10"/>
      <c r="C25" s="10"/>
      <c r="D25" s="10"/>
      <c r="E25" s="10"/>
      <c r="F25" s="10"/>
      <c r="G25" s="10"/>
      <c r="H25" s="10"/>
      <c r="I25" s="11"/>
    </row>
    <row r="26" spans="1:9" x14ac:dyDescent="0.3">
      <c r="A26" s="9"/>
      <c r="B26" s="10"/>
      <c r="C26" s="10"/>
      <c r="D26" s="75" t="s">
        <v>755</v>
      </c>
      <c r="E26" s="75"/>
      <c r="F26" s="75"/>
      <c r="G26" s="10"/>
      <c r="H26" s="10"/>
      <c r="I26" s="11"/>
    </row>
    <row r="27" spans="1:9" x14ac:dyDescent="0.3">
      <c r="A27" s="9"/>
      <c r="B27" s="10"/>
      <c r="C27" s="10"/>
      <c r="D27" s="75"/>
      <c r="E27" s="75"/>
      <c r="F27" s="75"/>
      <c r="G27" s="10"/>
      <c r="H27" s="10"/>
      <c r="I27" s="11"/>
    </row>
    <row r="28" spans="1:9" x14ac:dyDescent="0.3">
      <c r="A28" s="9"/>
      <c r="B28" s="10"/>
      <c r="C28" s="10"/>
      <c r="D28" s="10"/>
      <c r="E28" s="10"/>
      <c r="F28" s="10"/>
      <c r="G28" s="10"/>
      <c r="H28" s="10"/>
      <c r="I28" s="11"/>
    </row>
    <row r="29" spans="1:9" x14ac:dyDescent="0.3">
      <c r="A29" s="9"/>
      <c r="B29" s="10"/>
      <c r="C29" s="10"/>
      <c r="D29" s="10"/>
      <c r="E29" s="10"/>
      <c r="F29" s="10"/>
      <c r="G29" s="10"/>
      <c r="H29" s="10"/>
      <c r="I29" s="11"/>
    </row>
    <row r="30" spans="1:9" x14ac:dyDescent="0.3">
      <c r="A30" s="9"/>
      <c r="B30" s="10"/>
      <c r="C30" s="10"/>
      <c r="D30" s="10"/>
      <c r="E30" s="10"/>
      <c r="F30" s="10"/>
      <c r="G30" s="10"/>
      <c r="H30" s="10"/>
      <c r="I30" s="11"/>
    </row>
    <row r="31" spans="1:9" x14ac:dyDescent="0.3">
      <c r="A31" s="9"/>
      <c r="B31" s="10"/>
      <c r="C31" s="10"/>
      <c r="D31" s="10"/>
      <c r="E31" s="10"/>
      <c r="F31" s="10"/>
      <c r="G31" s="10"/>
      <c r="H31" s="10"/>
      <c r="I31" s="11"/>
    </row>
    <row r="32" spans="1:9" x14ac:dyDescent="0.3">
      <c r="A32" s="9"/>
      <c r="B32" s="10"/>
      <c r="C32" s="10"/>
      <c r="D32" s="10"/>
      <c r="E32" s="10"/>
      <c r="F32" s="10"/>
      <c r="G32" s="10"/>
      <c r="H32" s="10"/>
      <c r="I32" s="11"/>
    </row>
    <row r="33" spans="1:9" x14ac:dyDescent="0.3">
      <c r="A33" s="9"/>
      <c r="B33" s="10"/>
      <c r="C33" s="10"/>
      <c r="D33" s="10"/>
      <c r="E33" s="10"/>
      <c r="F33" s="10"/>
      <c r="G33" s="10"/>
      <c r="H33" s="10"/>
      <c r="I33" s="11"/>
    </row>
    <row r="34" spans="1:9" x14ac:dyDescent="0.3">
      <c r="A34" s="9"/>
      <c r="B34" s="10"/>
      <c r="C34" s="10"/>
      <c r="D34" s="10"/>
      <c r="E34" s="10"/>
      <c r="F34" s="10"/>
      <c r="G34" s="10"/>
      <c r="H34" s="10"/>
      <c r="I34" s="11"/>
    </row>
    <row r="35" spans="1:9" x14ac:dyDescent="0.3">
      <c r="A35" s="9"/>
      <c r="B35" s="10"/>
      <c r="C35" s="10"/>
      <c r="D35" s="10"/>
      <c r="E35" s="10"/>
      <c r="F35" s="10"/>
      <c r="G35" s="10"/>
      <c r="H35" s="10"/>
      <c r="I35" s="11"/>
    </row>
    <row r="36" spans="1:9" x14ac:dyDescent="0.3">
      <c r="A36" s="9"/>
      <c r="B36" s="10"/>
      <c r="C36" s="10"/>
      <c r="D36" s="10"/>
      <c r="E36" s="10"/>
      <c r="F36" s="10"/>
      <c r="G36" s="10"/>
      <c r="H36" s="10"/>
      <c r="I36" s="11"/>
    </row>
    <row r="37" spans="1:9" x14ac:dyDescent="0.3">
      <c r="A37" s="9"/>
      <c r="B37" s="10"/>
      <c r="C37" s="10"/>
      <c r="D37" s="10"/>
      <c r="E37" s="10"/>
      <c r="F37" s="10"/>
      <c r="G37" s="10"/>
      <c r="H37" s="10"/>
      <c r="I37" s="11"/>
    </row>
    <row r="38" spans="1:9" x14ac:dyDescent="0.3">
      <c r="A38" s="9"/>
      <c r="B38" s="10"/>
      <c r="C38" s="10"/>
      <c r="D38" s="10"/>
      <c r="E38" s="10"/>
      <c r="F38" s="10"/>
      <c r="G38" s="10"/>
      <c r="H38" s="10"/>
      <c r="I38" s="11"/>
    </row>
    <row r="39" spans="1:9" ht="17.25" thickBot="1" x14ac:dyDescent="0.35">
      <c r="A39" s="12"/>
      <c r="B39" s="13"/>
      <c r="C39" s="13"/>
      <c r="D39" s="13"/>
      <c r="E39" s="13"/>
      <c r="F39" s="13"/>
      <c r="G39" s="13"/>
      <c r="H39" s="13"/>
      <c r="I39" s="14"/>
    </row>
  </sheetData>
  <mergeCells count="3">
    <mergeCell ref="B18:H21"/>
    <mergeCell ref="D26:F27"/>
    <mergeCell ref="B11:H1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10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143"/>
  <sheetViews>
    <sheetView topLeftCell="A20" zoomScale="70" zoomScaleNormal="70" workbookViewId="0">
      <selection activeCell="D27" sqref="D27"/>
    </sheetView>
  </sheetViews>
  <sheetFormatPr defaultColWidth="8.625" defaultRowHeight="15" x14ac:dyDescent="0.3"/>
  <cols>
    <col min="1" max="1" width="4.375" style="1" customWidth="1"/>
    <col min="2" max="2" width="18.625" style="25" customWidth="1"/>
    <col min="3" max="3" width="16.25" style="25" customWidth="1"/>
    <col min="4" max="4" width="47.5" style="26" customWidth="1"/>
    <col min="5" max="5" width="8.625" style="1"/>
    <col min="6" max="6" width="28" style="1" customWidth="1"/>
    <col min="7" max="7" width="22.75" style="1" bestFit="1" customWidth="1"/>
    <col min="8" max="16384" width="8.625" style="1"/>
  </cols>
  <sheetData>
    <row r="1" spans="2:7" s="3" customFormat="1" ht="12.75" customHeight="1" x14ac:dyDescent="0.3">
      <c r="B1" s="16" t="s">
        <v>4</v>
      </c>
      <c r="C1" s="17" t="s">
        <v>91</v>
      </c>
      <c r="D1" s="18" t="s">
        <v>367</v>
      </c>
      <c r="F1" s="1"/>
      <c r="G1" s="1"/>
    </row>
    <row r="2" spans="2:7" s="4" customFormat="1" ht="12.75" customHeight="1" x14ac:dyDescent="0.3">
      <c r="B2" s="19" t="s">
        <v>225</v>
      </c>
      <c r="C2" s="20" t="s">
        <v>308</v>
      </c>
      <c r="D2" s="21" t="str">
        <f>VLOOKUP(C2,'3. 요건기술서 전체'!$B:$L,5,0)</f>
        <v>공통기능 -인프라 구성 표준</v>
      </c>
      <c r="F2" s="1"/>
      <c r="G2" s="1"/>
    </row>
    <row r="3" spans="2:7" ht="12.75" customHeight="1" x14ac:dyDescent="0.3">
      <c r="B3" s="19" t="s">
        <v>53</v>
      </c>
      <c r="C3" s="20" t="s">
        <v>309</v>
      </c>
      <c r="D3" s="21" t="str">
        <f>VLOOKUP(C3,'3. 요건기술서 전체'!$B:$L,5,0)</f>
        <v>공통기능 -계정 및 권한</v>
      </c>
    </row>
    <row r="4" spans="2:7" ht="12.75" customHeight="1" x14ac:dyDescent="0.3">
      <c r="B4" s="19" t="s">
        <v>53</v>
      </c>
      <c r="C4" s="20" t="s">
        <v>310</v>
      </c>
      <c r="D4" s="21" t="str">
        <f>VLOOKUP(C4,'3. 요건기술서 전체'!$B:$L,5,0)</f>
        <v>공통기능 -모바일</v>
      </c>
    </row>
    <row r="5" spans="2:7" ht="12.75" customHeight="1" x14ac:dyDescent="0.3">
      <c r="B5" s="19" t="s">
        <v>53</v>
      </c>
      <c r="C5" s="20" t="s">
        <v>311</v>
      </c>
      <c r="D5" s="21" t="str">
        <f>VLOOKUP(C5,'3. 요건기술서 전체'!$B:$L,5,0)</f>
        <v>공통기능 -정보 조회</v>
      </c>
    </row>
    <row r="6" spans="2:7" ht="12.75" customHeight="1" x14ac:dyDescent="0.3">
      <c r="B6" s="19" t="s">
        <v>53</v>
      </c>
      <c r="C6" s="20" t="s">
        <v>312</v>
      </c>
      <c r="D6" s="21" t="str">
        <f>VLOOKUP(C6,'3. 요건기술서 전체'!$B:$L,5,0)</f>
        <v>사용자 인터페이스(UI/UX)</v>
      </c>
    </row>
    <row r="7" spans="2:7" ht="12.75" customHeight="1" x14ac:dyDescent="0.3">
      <c r="B7" s="19" t="s">
        <v>53</v>
      </c>
      <c r="C7" s="20" t="s">
        <v>314</v>
      </c>
      <c r="D7" s="21" t="str">
        <f>VLOOKUP(C7,'3. 요건기술서 전체'!$B:$L,5,0)</f>
        <v>기능위치마스터 관리</v>
      </c>
    </row>
    <row r="8" spans="2:7" ht="12.75" customHeight="1" x14ac:dyDescent="0.3">
      <c r="B8" s="19" t="s">
        <v>53</v>
      </c>
      <c r="C8" s="20" t="s">
        <v>316</v>
      </c>
      <c r="D8" s="21" t="str">
        <f>VLOOKUP(C8,'3. 요건기술서 전체'!$B:$L,5,0)</f>
        <v>설비마스터 관리</v>
      </c>
    </row>
    <row r="9" spans="2:7" ht="12.75" customHeight="1" x14ac:dyDescent="0.3">
      <c r="B9" s="19" t="s">
        <v>53</v>
      </c>
      <c r="C9" s="20" t="s">
        <v>317</v>
      </c>
      <c r="D9" s="21" t="str">
        <f>VLOOKUP(C9,'3. 요건기술서 전체'!$B:$L,5,0)</f>
        <v>설비 BOM 관리</v>
      </c>
    </row>
    <row r="10" spans="2:7" ht="12.75" customHeight="1" x14ac:dyDescent="0.3">
      <c r="B10" s="19" t="s">
        <v>53</v>
      </c>
      <c r="C10" s="20" t="s">
        <v>318</v>
      </c>
      <c r="D10" s="21" t="str">
        <f>VLOOKUP(C10,'3. 요건기술서 전체'!$B:$L,5,0)</f>
        <v>스마트 도면 관리 기능(공통)</v>
      </c>
    </row>
    <row r="11" spans="2:7" ht="12.75" customHeight="1" x14ac:dyDescent="0.3">
      <c r="B11" s="19" t="s">
        <v>53</v>
      </c>
      <c r="C11" s="20" t="s">
        <v>320</v>
      </c>
      <c r="D11" s="21" t="str">
        <f>VLOOKUP(C11,'3. 요건기술서 전체'!$B:$L,5,0)</f>
        <v>스마트 도면 전환</v>
      </c>
    </row>
    <row r="12" spans="2:7" ht="12.75" customHeight="1" x14ac:dyDescent="0.3">
      <c r="B12" s="19" t="s">
        <v>53</v>
      </c>
      <c r="C12" s="20" t="s">
        <v>322</v>
      </c>
      <c r="D12" s="21" t="str">
        <f>VLOOKUP(C12,'3. 요건기술서 전체'!$B:$L,5,0)</f>
        <v>스마트 도면 편집(Edit) 기능</v>
      </c>
    </row>
    <row r="13" spans="2:7" ht="12.75" customHeight="1" x14ac:dyDescent="0.3">
      <c r="B13" s="19" t="s">
        <v>53</v>
      </c>
      <c r="C13" s="20" t="s">
        <v>324</v>
      </c>
      <c r="D13" s="21" t="str">
        <f>VLOOKUP(C13,'3. 요건기술서 전체'!$B:$L,5,0)</f>
        <v>스마트 도면 보기(View) 기능</v>
      </c>
    </row>
    <row r="14" spans="2:7" ht="12.75" customHeight="1" x14ac:dyDescent="0.3">
      <c r="B14" s="19" t="s">
        <v>53</v>
      </c>
      <c r="C14" s="20" t="s">
        <v>326</v>
      </c>
      <c r="D14" s="21" t="str">
        <f>VLOOKUP(C14,'3. 요건기술서 전체'!$B:$L,5,0)</f>
        <v>자재마스터 관리</v>
      </c>
    </row>
    <row r="15" spans="2:7" ht="12.75" customHeight="1" x14ac:dyDescent="0.3">
      <c r="B15" s="19" t="s">
        <v>53</v>
      </c>
      <c r="C15" s="20" t="s">
        <v>328</v>
      </c>
      <c r="D15" s="21" t="str">
        <f>VLOOKUP(C15,'3. 요건기술서 전체'!$B:$L,5,0)</f>
        <v>자재관리</v>
      </c>
    </row>
    <row r="16" spans="2:7" ht="12.75" customHeight="1" x14ac:dyDescent="0.3">
      <c r="B16" s="19" t="s">
        <v>53</v>
      </c>
      <c r="C16" s="20" t="s">
        <v>330</v>
      </c>
      <c r="D16" s="21" t="str">
        <f>VLOOKUP(C16,'3. 요건기술서 전체'!$B:$L,5,0)</f>
        <v>자재 입·출고관리</v>
      </c>
    </row>
    <row r="17" spans="2:4" ht="12.75" customHeight="1" x14ac:dyDescent="0.3">
      <c r="B17" s="19" t="s">
        <v>53</v>
      </c>
      <c r="C17" s="20" t="s">
        <v>332</v>
      </c>
      <c r="D17" s="21" t="str">
        <f>VLOOKUP(C17,'3. 요건기술서 전체'!$B:$L,5,0)</f>
        <v>열원 자재관리</v>
      </c>
    </row>
    <row r="18" spans="2:4" ht="12.75" customHeight="1" x14ac:dyDescent="0.3">
      <c r="B18" s="19" t="s">
        <v>53</v>
      </c>
      <c r="C18" s="20" t="s">
        <v>334</v>
      </c>
      <c r="D18" s="21" t="str">
        <f>VLOOKUP(C18,'3. 요건기술서 전체'!$B:$L,5,0)</f>
        <v>열수송 자재관리</v>
      </c>
    </row>
    <row r="19" spans="2:4" ht="12.75" customHeight="1" x14ac:dyDescent="0.3">
      <c r="B19" s="19" t="s">
        <v>53</v>
      </c>
      <c r="C19" s="20" t="s">
        <v>336</v>
      </c>
      <c r="D19" s="21" t="str">
        <f>VLOOKUP(C19,'3. 요건기술서 전체'!$B:$L,5,0)</f>
        <v>열량계 자재관리</v>
      </c>
    </row>
    <row r="20" spans="2:4" ht="12.75" customHeight="1" x14ac:dyDescent="0.3">
      <c r="B20" s="19" t="s">
        <v>53</v>
      </c>
      <c r="C20" s="20" t="s">
        <v>338</v>
      </c>
      <c r="D20" s="21" t="str">
        <f>VLOOKUP(C20,'3. 요건기술서 전체'!$B:$L,5,0)</f>
        <v>작업오더 조회 및 생성</v>
      </c>
    </row>
    <row r="21" spans="2:4" ht="12.75" customHeight="1" x14ac:dyDescent="0.3">
      <c r="B21" s="19" t="s">
        <v>53</v>
      </c>
      <c r="C21" s="20" t="s">
        <v>340</v>
      </c>
      <c r="D21" s="21" t="str">
        <f>VLOOKUP(C21,'3. 요건기술서 전체'!$B:$L,5,0)</f>
        <v>기기점검결과보고서</v>
      </c>
    </row>
    <row r="22" spans="2:4" ht="12.75" customHeight="1" x14ac:dyDescent="0.3">
      <c r="B22" s="19" t="s">
        <v>53</v>
      </c>
      <c r="C22" s="20" t="s">
        <v>342</v>
      </c>
      <c r="D22" s="21" t="str">
        <f>VLOOKUP(C22,'3. 요건기술서 전체'!$B:$L,5,0)</f>
        <v>공사기간관리</v>
      </c>
    </row>
    <row r="23" spans="2:4" ht="12.75" customHeight="1" x14ac:dyDescent="0.3">
      <c r="B23" s="19" t="s">
        <v>53</v>
      </c>
      <c r="C23" s="20" t="s">
        <v>344</v>
      </c>
      <c r="D23" s="21" t="str">
        <f>VLOOKUP(C23,'3. 요건기술서 전체'!$B:$L,5,0)</f>
        <v>공사통보서 발행</v>
      </c>
    </row>
    <row r="24" spans="2:4" ht="12.75" customHeight="1" x14ac:dyDescent="0.3">
      <c r="B24" s="19" t="s">
        <v>53</v>
      </c>
      <c r="C24" s="20" t="s">
        <v>346</v>
      </c>
      <c r="D24" s="21" t="str">
        <f>VLOOKUP(C24,'3. 요건기술서 전체'!$B:$L,5,0)</f>
        <v>검수 -지입/외주/임차</v>
      </c>
    </row>
    <row r="25" spans="2:4" ht="12.75" customHeight="1" x14ac:dyDescent="0.3">
      <c r="B25" s="19" t="s">
        <v>53</v>
      </c>
      <c r="C25" s="20" t="s">
        <v>347</v>
      </c>
      <c r="D25" s="21" t="str">
        <f>VLOOKUP(C25,'3. 요건기술서 전체'!$B:$L,5,0)</f>
        <v>공사마스터</v>
      </c>
    </row>
    <row r="26" spans="2:4" ht="12.75" customHeight="1" x14ac:dyDescent="0.3">
      <c r="B26" s="19" t="s">
        <v>53</v>
      </c>
      <c r="C26" s="20" t="s">
        <v>349</v>
      </c>
      <c r="D26" s="21" t="str">
        <f>VLOOKUP(C26,'3. 요건기술서 전체'!$B:$L,5,0)</f>
        <v>용역마스터</v>
      </c>
    </row>
    <row r="27" spans="2:4" ht="12.75" customHeight="1" x14ac:dyDescent="0.3">
      <c r="B27" s="19" t="s">
        <v>53</v>
      </c>
      <c r="C27" s="20" t="s">
        <v>351</v>
      </c>
      <c r="D27" s="21" t="str">
        <f>VLOOKUP(C27,'3. 요건기술서 전체'!$B:$L,5,0)</f>
        <v>공사오더 조회 및 생성</v>
      </c>
    </row>
    <row r="28" spans="2:4" ht="12.75" customHeight="1" x14ac:dyDescent="0.3">
      <c r="B28" s="19" t="s">
        <v>53</v>
      </c>
      <c r="C28" s="20" t="s">
        <v>353</v>
      </c>
      <c r="D28" s="21" t="str">
        <f>VLOOKUP(C28,'3. 요건기술서 전체'!$B:$L,5,0)</f>
        <v>공사 작업결과 입력</v>
      </c>
    </row>
    <row r="29" spans="2:4" ht="12.75" customHeight="1" x14ac:dyDescent="0.3">
      <c r="B29" s="19" t="s">
        <v>53</v>
      </c>
      <c r="C29" s="20" t="s">
        <v>355</v>
      </c>
      <c r="D29" s="21" t="str">
        <f>VLOOKUP(C29,'3. 요건기술서 전체'!$B:$L,5,0)</f>
        <v>설계기준 -설계기준서 관리</v>
      </c>
    </row>
    <row r="30" spans="2:4" ht="12.75" customHeight="1" x14ac:dyDescent="0.3">
      <c r="B30" s="19" t="s">
        <v>53</v>
      </c>
      <c r="C30" s="20" t="s">
        <v>356</v>
      </c>
      <c r="D30" s="21" t="str">
        <f>VLOOKUP(C30,'3. 요건기술서 전체'!$B:$L,5,0)</f>
        <v>설계기준 -제비율표 관리</v>
      </c>
    </row>
    <row r="31" spans="2:4" ht="12.75" customHeight="1" x14ac:dyDescent="0.3">
      <c r="B31" s="19" t="s">
        <v>53</v>
      </c>
      <c r="C31" s="20" t="s">
        <v>357</v>
      </c>
      <c r="D31" s="21" t="str">
        <f>VLOOKUP(C31,'3. 요건기술서 전체'!$B:$L,5,0)</f>
        <v>Red Tag 관리</v>
      </c>
    </row>
    <row r="32" spans="2:4" ht="12.75" customHeight="1" x14ac:dyDescent="0.3">
      <c r="B32" s="19" t="s">
        <v>53</v>
      </c>
      <c r="C32" s="20" t="s">
        <v>359</v>
      </c>
      <c r="D32" s="21" t="str">
        <f>VLOOKUP(C32,'3. 요건기술서 전체'!$B:$L,5,0)</f>
        <v>예방정비관리</v>
      </c>
    </row>
    <row r="33" spans="2:4" ht="12.75" customHeight="1" x14ac:dyDescent="0.3">
      <c r="B33" s="19" t="s">
        <v>53</v>
      </c>
      <c r="C33" s="20" t="s">
        <v>360</v>
      </c>
      <c r="D33" s="21" t="str">
        <f>VLOOKUP(C33,'3. 요건기술서 전체'!$B:$L,5,0)</f>
        <v>법정검사</v>
      </c>
    </row>
    <row r="34" spans="2:4" ht="12.75" customHeight="1" x14ac:dyDescent="0.3">
      <c r="B34" s="19" t="s">
        <v>53</v>
      </c>
      <c r="C34" s="20" t="s">
        <v>362</v>
      </c>
      <c r="D34" s="21" t="str">
        <f>VLOOKUP(C34,'3. 요건기술서 전체'!$B:$L,5,0)</f>
        <v>예방점검관리</v>
      </c>
    </row>
    <row r="35" spans="2:4" ht="12.75" customHeight="1" x14ac:dyDescent="0.3">
      <c r="B35" s="19" t="s">
        <v>53</v>
      </c>
      <c r="C35" s="20" t="s">
        <v>364</v>
      </c>
      <c r="D35" s="21" t="str">
        <f>VLOOKUP(C35,'3. 요건기술서 전체'!$B:$L,5,0)</f>
        <v>작업 통계</v>
      </c>
    </row>
    <row r="36" spans="2:4" ht="12.75" customHeight="1" x14ac:dyDescent="0.3">
      <c r="B36" s="19" t="s">
        <v>53</v>
      </c>
      <c r="C36" s="20" t="s">
        <v>366</v>
      </c>
      <c r="D36" s="21" t="str">
        <f>VLOOKUP(C36,'3. 요건기술서 전체'!$B:$L,5,0)</f>
        <v>고장속보 (상보)</v>
      </c>
    </row>
    <row r="37" spans="2:4" ht="12.75" customHeight="1" x14ac:dyDescent="0.3">
      <c r="B37" s="19" t="s">
        <v>53</v>
      </c>
      <c r="C37" s="20" t="s">
        <v>368</v>
      </c>
      <c r="D37" s="21" t="str">
        <f>VLOOKUP(C37,'3. 요건기술서 전체'!$B:$L,5,0)</f>
        <v xml:space="preserve">계획 예방 정비 (결과) </v>
      </c>
    </row>
    <row r="38" spans="2:4" ht="12.75" customHeight="1" x14ac:dyDescent="0.3">
      <c r="B38" s="19" t="s">
        <v>53</v>
      </c>
      <c r="C38" s="20" t="s">
        <v>369</v>
      </c>
      <c r="D38" s="21" t="str">
        <f>VLOOKUP(C38,'3. 요건기술서 전체'!$B:$L,5,0)</f>
        <v>고장 통계</v>
      </c>
    </row>
    <row r="39" spans="2:4" ht="12.75" customHeight="1" x14ac:dyDescent="0.3">
      <c r="B39" s="19" t="s">
        <v>53</v>
      </c>
      <c r="C39" s="20" t="s">
        <v>371</v>
      </c>
      <c r="D39" s="21" t="str">
        <f>VLOOKUP(C39,'3. 요건기술서 전체'!$B:$L,5,0)</f>
        <v>TM목록/발행</v>
      </c>
    </row>
    <row r="40" spans="2:4" ht="12.75" customHeight="1" x14ac:dyDescent="0.3">
      <c r="B40" s="19" t="s">
        <v>53</v>
      </c>
      <c r="C40" s="20" t="s">
        <v>373</v>
      </c>
      <c r="D40" s="21" t="str">
        <f>VLOOKUP(C40,'3. 요건기술서 전체'!$B:$L,5,0)</f>
        <v>TM 통계</v>
      </c>
    </row>
    <row r="41" spans="2:4" ht="12.75" customHeight="1" x14ac:dyDescent="0.3">
      <c r="B41" s="19" t="s">
        <v>53</v>
      </c>
      <c r="C41" s="20" t="s">
        <v>375</v>
      </c>
      <c r="D41" s="21" t="str">
        <f>VLOOKUP(C41,'3. 요건기술서 전체'!$B:$L,5,0)</f>
        <v>로그시트</v>
      </c>
    </row>
    <row r="42" spans="2:4" ht="12.75" customHeight="1" x14ac:dyDescent="0.3">
      <c r="B42" s="19" t="s">
        <v>53</v>
      </c>
      <c r="C42" s="20" t="s">
        <v>377</v>
      </c>
      <c r="D42" s="21" t="str">
        <f>VLOOKUP(C42,'3. 요건기술서 전체'!$B:$L,5,0)</f>
        <v>인계인수일지</v>
      </c>
    </row>
    <row r="43" spans="2:4" ht="12.75" customHeight="1" x14ac:dyDescent="0.3">
      <c r="B43" s="19" t="s">
        <v>53</v>
      </c>
      <c r="C43" s="20" t="s">
        <v>379</v>
      </c>
      <c r="D43" s="21" t="str">
        <f>VLOOKUP(C43,'3. 요건기술서 전체'!$B:$L,5,0)</f>
        <v>운전시간</v>
      </c>
    </row>
    <row r="44" spans="2:4" ht="12.75" customHeight="1" x14ac:dyDescent="0.3">
      <c r="B44" s="19" t="s">
        <v>53</v>
      </c>
      <c r="C44" s="20" t="s">
        <v>381</v>
      </c>
      <c r="D44" s="21" t="str">
        <f>VLOOKUP(C44,'3. 요건기술서 전체'!$B:$L,5,0)</f>
        <v>정비회의</v>
      </c>
    </row>
    <row r="45" spans="2:4" ht="12.75" customHeight="1" x14ac:dyDescent="0.3">
      <c r="B45" s="19" t="s">
        <v>53</v>
      </c>
      <c r="C45" s="20" t="s">
        <v>383</v>
      </c>
      <c r="D45" s="21" t="str">
        <f>VLOOKUP(C45,'3. 요건기술서 전체'!$B:$L,5,0)</f>
        <v>도면 및 기술자료 관리</v>
      </c>
    </row>
    <row r="46" spans="2:4" ht="12.75" customHeight="1" x14ac:dyDescent="0.3">
      <c r="B46" s="19" t="s">
        <v>53</v>
      </c>
      <c r="C46" s="20" t="s">
        <v>385</v>
      </c>
      <c r="D46" s="21" t="str">
        <f>VLOOKUP(C46,'3. 요건기술서 전체'!$B:$L,5,0)</f>
        <v>예산관리</v>
      </c>
    </row>
    <row r="47" spans="2:4" ht="12.75" customHeight="1" x14ac:dyDescent="0.3">
      <c r="B47" s="19" t="s">
        <v>53</v>
      </c>
      <c r="C47" s="20" t="s">
        <v>386</v>
      </c>
      <c r="D47" s="21" t="str">
        <f>VLOOKUP(C47,'3. 요건기술서 전체'!$B:$L,5,0)</f>
        <v>공통 -결재</v>
      </c>
    </row>
    <row r="48" spans="2:4" ht="12.75" customHeight="1" x14ac:dyDescent="0.3">
      <c r="B48" s="19" t="s">
        <v>53</v>
      </c>
      <c r="C48" s="20" t="s">
        <v>387</v>
      </c>
      <c r="D48" s="21" t="str">
        <f>VLOOKUP(C48,'3. 요건기술서 전체'!$B:$L,5,0)</f>
        <v>공통 -공람</v>
      </c>
    </row>
    <row r="49" spans="2:4" ht="12.75" customHeight="1" x14ac:dyDescent="0.3">
      <c r="B49" s="19" t="s">
        <v>53</v>
      </c>
      <c r="C49" s="20" t="s">
        <v>388</v>
      </c>
      <c r="D49" s="21" t="str">
        <f>VLOOKUP(C49,'3. 요건기술서 전체'!$B:$L,5,0)</f>
        <v>공통 -첨부</v>
      </c>
    </row>
    <row r="50" spans="2:4" ht="12.75" customHeight="1" x14ac:dyDescent="0.3">
      <c r="B50" s="19" t="s">
        <v>53</v>
      </c>
      <c r="C50" s="20" t="s">
        <v>389</v>
      </c>
      <c r="D50" s="21" t="str">
        <f>VLOOKUP(C50,'3. 요건기술서 전체'!$B:$L,5,0)</f>
        <v>건설정보시스템 메인화면 -대시보드</v>
      </c>
    </row>
    <row r="51" spans="2:4" ht="12.75" customHeight="1" x14ac:dyDescent="0.3">
      <c r="B51" s="19" t="s">
        <v>53</v>
      </c>
      <c r="C51" s="20" t="s">
        <v>390</v>
      </c>
      <c r="D51" s="21" t="str">
        <f>VLOOKUP(C51,'3. 요건기술서 전체'!$B:$L,5,0)</f>
        <v>건설정보시스템 메인화면 -상단메뉴</v>
      </c>
    </row>
    <row r="52" spans="2:4" ht="12.75" customHeight="1" x14ac:dyDescent="0.3">
      <c r="B52" s="19" t="s">
        <v>53</v>
      </c>
      <c r="C52" s="20" t="s">
        <v>391</v>
      </c>
      <c r="D52" s="21" t="str">
        <f>VLOOKUP(C52,'3. 요건기술서 전체'!$B:$L,5,0)</f>
        <v>프로젝트 메인화면 -대시보드</v>
      </c>
    </row>
    <row r="53" spans="2:4" ht="12.75" customHeight="1" x14ac:dyDescent="0.3">
      <c r="B53" s="19" t="s">
        <v>53</v>
      </c>
      <c r="C53" s="20" t="s">
        <v>392</v>
      </c>
      <c r="D53" s="21" t="str">
        <f>VLOOKUP(C53,'3. 요건기술서 전체'!$B:$L,5,0)</f>
        <v>프로젝트 메인화면 -좌측메뉴</v>
      </c>
    </row>
    <row r="54" spans="2:4" ht="12.75" customHeight="1" x14ac:dyDescent="0.3">
      <c r="B54" s="19" t="s">
        <v>53</v>
      </c>
      <c r="C54" s="20" t="s">
        <v>393</v>
      </c>
      <c r="D54" s="21" t="str">
        <f>VLOOKUP(C54,'3. 요건기술서 전체'!$B:$L,5,0)</f>
        <v>프로젝트 정보</v>
      </c>
    </row>
    <row r="55" spans="2:4" ht="12.75" customHeight="1" x14ac:dyDescent="0.3">
      <c r="B55" s="19" t="s">
        <v>53</v>
      </c>
      <c r="C55" s="20" t="s">
        <v>395</v>
      </c>
      <c r="D55" s="21" t="str">
        <f>VLOOKUP(C55,'3. 요건기술서 전체'!$B:$L,5,0)</f>
        <v>협업 -문서송부전</v>
      </c>
    </row>
    <row r="56" spans="2:4" ht="12.75" customHeight="1" x14ac:dyDescent="0.3">
      <c r="B56" s="19" t="s">
        <v>53</v>
      </c>
      <c r="C56" s="20" t="s">
        <v>396</v>
      </c>
      <c r="D56" s="21" t="str">
        <f>VLOOKUP(C56,'3. 요건기술서 전체'!$B:$L,5,0)</f>
        <v>협업 -문서처리전</v>
      </c>
    </row>
    <row r="57" spans="2:4" ht="12.75" customHeight="1" x14ac:dyDescent="0.3">
      <c r="B57" s="19" t="s">
        <v>53</v>
      </c>
      <c r="C57" s="20" t="s">
        <v>397</v>
      </c>
      <c r="D57" s="21" t="str">
        <f>VLOOKUP(C57,'3. 요건기술서 전체'!$B:$L,5,0)</f>
        <v>협업 -Submittal 검토의뢰서</v>
      </c>
    </row>
    <row r="58" spans="2:4" ht="12.75" customHeight="1" x14ac:dyDescent="0.3">
      <c r="B58" s="19" t="s">
        <v>53</v>
      </c>
      <c r="C58" s="20" t="s">
        <v>398</v>
      </c>
      <c r="D58" s="21" t="str">
        <f>VLOOKUP(C58,'3. 요건기술서 전체'!$B:$L,5,0)</f>
        <v>협업 -Submittal 검토의견서</v>
      </c>
    </row>
    <row r="59" spans="2:4" ht="12.75" customHeight="1" x14ac:dyDescent="0.3">
      <c r="B59" s="19" t="s">
        <v>53</v>
      </c>
      <c r="C59" s="20" t="s">
        <v>399</v>
      </c>
      <c r="D59" s="21" t="str">
        <f>VLOOKUP(C59,'3. 요건기술서 전체'!$B:$L,5,0)</f>
        <v>협업 -업무지시전</v>
      </c>
    </row>
    <row r="60" spans="2:4" ht="12.75" customHeight="1" x14ac:dyDescent="0.3">
      <c r="B60" s="19" t="s">
        <v>53</v>
      </c>
      <c r="C60" s="20" t="s">
        <v>400</v>
      </c>
      <c r="D60" s="21" t="str">
        <f>VLOOKUP(C60,'3. 요건기술서 전체'!$B:$L,5,0)</f>
        <v>협업 -업무처리전</v>
      </c>
    </row>
    <row r="61" spans="2:4" ht="12.75" customHeight="1" x14ac:dyDescent="0.3">
      <c r="B61" s="19" t="s">
        <v>53</v>
      </c>
      <c r="C61" s="20" t="s">
        <v>401</v>
      </c>
      <c r="D61" s="21" t="str">
        <f>VLOOKUP(C61,'3. 요건기술서 전체'!$B:$L,5,0)</f>
        <v>협업 -현황</v>
      </c>
    </row>
    <row r="62" spans="2:4" ht="12.75" customHeight="1" x14ac:dyDescent="0.3">
      <c r="B62" s="19" t="s">
        <v>53</v>
      </c>
      <c r="C62" s="20" t="s">
        <v>402</v>
      </c>
      <c r="D62" s="21" t="str">
        <f>VLOOKUP(C62,'3. 요건기술서 전체'!$B:$L,5,0)</f>
        <v>사업관리 -DCL Setup</v>
      </c>
    </row>
    <row r="63" spans="2:4" ht="12.75" customHeight="1" x14ac:dyDescent="0.3">
      <c r="B63" s="19" t="s">
        <v>53</v>
      </c>
      <c r="C63" s="20" t="s">
        <v>403</v>
      </c>
      <c r="D63" s="21" t="str">
        <f>VLOOKUP(C63,'3. 요건기술서 전체'!$B:$L,5,0)</f>
        <v>사업관리 -DCL</v>
      </c>
    </row>
    <row r="64" spans="2:4" ht="12.75" customHeight="1" x14ac:dyDescent="0.3">
      <c r="B64" s="19" t="s">
        <v>53</v>
      </c>
      <c r="C64" s="20" t="s">
        <v>404</v>
      </c>
      <c r="D64" s="21" t="str">
        <f>VLOOKUP(C64,'3. 요건기술서 전체'!$B:$L,5,0)</f>
        <v>사업관리 -DCL Delay List</v>
      </c>
    </row>
    <row r="65" spans="2:4" ht="12.75" customHeight="1" x14ac:dyDescent="0.3">
      <c r="B65" s="19" t="s">
        <v>53</v>
      </c>
      <c r="C65" s="20" t="s">
        <v>405</v>
      </c>
      <c r="D65" s="21" t="str">
        <f>VLOOKUP(C65,'3. 요건기술서 전체'!$B:$L,5,0)</f>
        <v>사업관리 -현황</v>
      </c>
    </row>
    <row r="66" spans="2:4" ht="12.75" customHeight="1" x14ac:dyDescent="0.3">
      <c r="B66" s="19" t="s">
        <v>53</v>
      </c>
      <c r="C66" s="20" t="s">
        <v>406</v>
      </c>
      <c r="D66" s="21" t="str">
        <f>VLOOKUP(C66,'3. 요건기술서 전체'!$B:$L,5,0)</f>
        <v>품질실적관리</v>
      </c>
    </row>
    <row r="67" spans="2:4" ht="12.75" customHeight="1" x14ac:dyDescent="0.3">
      <c r="B67" s="19" t="s">
        <v>53</v>
      </c>
      <c r="C67" s="20" t="s">
        <v>408</v>
      </c>
      <c r="D67" s="21" t="str">
        <f>VLOOKUP(C67,'3. 요건기술서 전체'!$B:$L,5,0)</f>
        <v>품질실적관리 -현황</v>
      </c>
    </row>
    <row r="68" spans="2:4" ht="12.75" customHeight="1" x14ac:dyDescent="0.3">
      <c r="B68" s="19" t="s">
        <v>53</v>
      </c>
      <c r="C68" s="20" t="s">
        <v>409</v>
      </c>
      <c r="D68" s="21" t="str">
        <f>VLOOKUP(C68,'3. 요건기술서 전체'!$B:$L,5,0)</f>
        <v>프로젝트 폴더</v>
      </c>
    </row>
    <row r="69" spans="2:4" ht="12.75" customHeight="1" x14ac:dyDescent="0.3">
      <c r="B69" s="19" t="s">
        <v>53</v>
      </c>
      <c r="C69" s="20" t="s">
        <v>411</v>
      </c>
      <c r="D69" s="21" t="str">
        <f>VLOOKUP(C69,'3. 요건기술서 전체'!$B:$L,5,0)</f>
        <v>프로젝트 관리자의 기능</v>
      </c>
    </row>
    <row r="70" spans="2:4" ht="12.75" customHeight="1" x14ac:dyDescent="0.3">
      <c r="B70" s="19" t="s">
        <v>53</v>
      </c>
      <c r="C70" s="20" t="s">
        <v>413</v>
      </c>
      <c r="D70" s="21" t="str">
        <f>VLOOKUP(C70,'3. 요건기술서 전체'!$B:$L,5,0)</f>
        <v>현장기술지원</v>
      </c>
    </row>
    <row r="71" spans="2:4" ht="12.75" customHeight="1" x14ac:dyDescent="0.3">
      <c r="B71" s="19" t="s">
        <v>53</v>
      </c>
      <c r="C71" s="20" t="s">
        <v>414</v>
      </c>
      <c r="D71" s="21" t="str">
        <f>VLOOKUP(C71,'3. 요건기술서 전체'!$B:$L,5,0)</f>
        <v>REPLY SHEET 기능</v>
      </c>
    </row>
    <row r="72" spans="2:4" ht="12.75" customHeight="1" x14ac:dyDescent="0.3">
      <c r="B72" s="19" t="s">
        <v>53</v>
      </c>
      <c r="C72" s="20" t="s">
        <v>416</v>
      </c>
      <c r="D72" s="21" t="str">
        <f>VLOOKUP(C72,'3. 요건기술서 전체'!$B:$L,5,0)</f>
        <v>첨부 Viewer를 통한 편집 기능</v>
      </c>
    </row>
    <row r="73" spans="2:4" ht="12.75" customHeight="1" x14ac:dyDescent="0.3">
      <c r="B73" s="19" t="s">
        <v>53</v>
      </c>
      <c r="C73" s="20" t="s">
        <v>418</v>
      </c>
      <c r="D73" s="21" t="str">
        <f>VLOOKUP(C73,'3. 요건기술서 전체'!$B:$L,5,0)</f>
        <v>공통기능 - 매뉴얼관리</v>
      </c>
    </row>
    <row r="74" spans="2:4" ht="12.75" customHeight="1" x14ac:dyDescent="0.3">
      <c r="B74" s="19" t="s">
        <v>53</v>
      </c>
      <c r="C74" s="20" t="s">
        <v>728</v>
      </c>
      <c r="D74" s="21" t="s">
        <v>729</v>
      </c>
    </row>
    <row r="75" spans="2:4" ht="12.75" customHeight="1" x14ac:dyDescent="0.3">
      <c r="B75" s="19" t="s">
        <v>143</v>
      </c>
      <c r="C75" s="20" t="s">
        <v>419</v>
      </c>
      <c r="D75" s="21" t="str">
        <f>VLOOKUP(C75,'3. 요건기술서 전체'!$B:$L,5,0)</f>
        <v>공통기능 -외부 접근 제한</v>
      </c>
    </row>
    <row r="76" spans="2:4" ht="12.75" customHeight="1" x14ac:dyDescent="0.3">
      <c r="B76" s="19" t="s">
        <v>143</v>
      </c>
      <c r="C76" s="20" t="s">
        <v>420</v>
      </c>
      <c r="D76" s="21" t="str">
        <f>VLOOKUP(C76,'3. 요건기술서 전체'!$B:$L,5,0)</f>
        <v>정보누출금지</v>
      </c>
    </row>
    <row r="77" spans="2:4" ht="12.75" customHeight="1" x14ac:dyDescent="0.3">
      <c r="B77" s="19" t="s">
        <v>143</v>
      </c>
      <c r="C77" s="20" t="s">
        <v>422</v>
      </c>
      <c r="D77" s="21" t="str">
        <f>VLOOKUP(C77,'3. 요건기술서 전체'!$B:$L,5,0)</f>
        <v>보안위규 처리 기준</v>
      </c>
    </row>
    <row r="78" spans="2:4" ht="12.75" customHeight="1" x14ac:dyDescent="0.3">
      <c r="B78" s="19" t="s">
        <v>143</v>
      </c>
      <c r="C78" s="20" t="s">
        <v>424</v>
      </c>
      <c r="D78" s="21" t="str">
        <f>VLOOKUP(C78,'3. 요건기술서 전체'!$B:$L,5,0)</f>
        <v>보안위약금 부과 기준</v>
      </c>
    </row>
    <row r="79" spans="2:4" ht="12.75" customHeight="1" x14ac:dyDescent="0.3">
      <c r="B79" s="19" t="s">
        <v>143</v>
      </c>
      <c r="C79" s="20" t="s">
        <v>426</v>
      </c>
      <c r="D79" s="21" t="str">
        <f>VLOOKUP(C79,'3. 요건기술서 전체'!$B:$L,5,0)</f>
        <v>보안 사항</v>
      </c>
    </row>
    <row r="80" spans="2:4" ht="12.75" customHeight="1" x14ac:dyDescent="0.3">
      <c r="B80" s="19" t="s">
        <v>143</v>
      </c>
      <c r="C80" s="20" t="s">
        <v>428</v>
      </c>
      <c r="D80" s="21" t="str">
        <f>VLOOKUP(C80,'3. 요건기술서 전체'!$B:$L,5,0)</f>
        <v>망 접근 관련 보안사항</v>
      </c>
    </row>
    <row r="81" spans="2:4" ht="12.75" customHeight="1" x14ac:dyDescent="0.3">
      <c r="B81" s="19" t="s">
        <v>143</v>
      </c>
      <c r="C81" s="20" t="s">
        <v>430</v>
      </c>
      <c r="D81" s="21" t="s">
        <v>431</v>
      </c>
    </row>
    <row r="82" spans="2:4" ht="12.75" customHeight="1" x14ac:dyDescent="0.3">
      <c r="B82" s="19" t="s">
        <v>143</v>
      </c>
      <c r="C82" s="20" t="s">
        <v>730</v>
      </c>
      <c r="D82" s="21" t="s">
        <v>731</v>
      </c>
    </row>
    <row r="83" spans="2:4" ht="12.75" customHeight="1" x14ac:dyDescent="0.3">
      <c r="B83" s="19" t="s">
        <v>143</v>
      </c>
      <c r="C83" s="20" t="s">
        <v>732</v>
      </c>
      <c r="D83" s="21" t="s">
        <v>733</v>
      </c>
    </row>
    <row r="84" spans="2:4" ht="12.75" customHeight="1" x14ac:dyDescent="0.3">
      <c r="B84" s="19" t="s">
        <v>143</v>
      </c>
      <c r="C84" s="20" t="s">
        <v>734</v>
      </c>
      <c r="D84" s="21" t="s">
        <v>735</v>
      </c>
    </row>
    <row r="85" spans="2:4" ht="12.75" customHeight="1" x14ac:dyDescent="0.3">
      <c r="B85" s="19" t="s">
        <v>143</v>
      </c>
      <c r="C85" s="20" t="s">
        <v>736</v>
      </c>
      <c r="D85" s="21" t="s">
        <v>737</v>
      </c>
    </row>
    <row r="86" spans="2:4" ht="12.75" customHeight="1" x14ac:dyDescent="0.3">
      <c r="B86" s="19" t="s">
        <v>143</v>
      </c>
      <c r="C86" s="20" t="s">
        <v>738</v>
      </c>
      <c r="D86" s="21" t="s">
        <v>739</v>
      </c>
    </row>
    <row r="87" spans="2:4" ht="12.75" customHeight="1" x14ac:dyDescent="0.3">
      <c r="B87" s="19" t="s">
        <v>143</v>
      </c>
      <c r="C87" s="20" t="s">
        <v>740</v>
      </c>
      <c r="D87" s="21" t="s">
        <v>741</v>
      </c>
    </row>
    <row r="88" spans="2:4" ht="12.75" customHeight="1" x14ac:dyDescent="0.3">
      <c r="B88" s="19" t="s">
        <v>141</v>
      </c>
      <c r="C88" s="20" t="s">
        <v>432</v>
      </c>
      <c r="D88" s="21" t="str">
        <f>VLOOKUP(C88,'3. 요건기술서 전체'!$B:$L,5,0)</f>
        <v xml:space="preserve"> 데이터 표준 수립 및 상위표준 준수</v>
      </c>
    </row>
    <row r="89" spans="2:4" ht="12.75" customHeight="1" x14ac:dyDescent="0.3">
      <c r="B89" s="19" t="s">
        <v>141</v>
      </c>
      <c r="C89" s="20" t="s">
        <v>434</v>
      </c>
      <c r="D89" s="21" t="str">
        <f>VLOOKUP(C89,'3. 요건기술서 전체'!$B:$L,5,0)</f>
        <v xml:space="preserve"> 데이터 표준관리</v>
      </c>
    </row>
    <row r="90" spans="2:4" ht="12.75" customHeight="1" x14ac:dyDescent="0.3">
      <c r="B90" s="19" t="s">
        <v>141</v>
      </c>
      <c r="C90" s="20" t="s">
        <v>436</v>
      </c>
      <c r="D90" s="21" t="str">
        <f>VLOOKUP(C90,'3. 요건기술서 전체'!$B:$L,5,0)</f>
        <v xml:space="preserve"> 데이터 구조 설계</v>
      </c>
    </row>
    <row r="91" spans="2:4" ht="12.75" customHeight="1" x14ac:dyDescent="0.3">
      <c r="B91" s="19" t="s">
        <v>141</v>
      </c>
      <c r="C91" s="20" t="s">
        <v>437</v>
      </c>
      <c r="D91" s="21" t="str">
        <f>VLOOKUP(C91,'3. 요건기술서 전체'!$B:$L,5,0)</f>
        <v xml:space="preserve"> 데이터 구조 검증</v>
      </c>
    </row>
    <row r="92" spans="2:4" ht="12.75" customHeight="1" x14ac:dyDescent="0.3">
      <c r="B92" s="19" t="s">
        <v>141</v>
      </c>
      <c r="C92" s="20" t="s">
        <v>680</v>
      </c>
      <c r="D92" s="21" t="str">
        <f>VLOOKUP(C92,'3. 요건기술서 전체'!$B:$L,5,0)</f>
        <v xml:space="preserve"> 데이터 구조 관리</v>
      </c>
    </row>
    <row r="93" spans="2:4" ht="12.75" customHeight="1" x14ac:dyDescent="0.3">
      <c r="B93" s="19" t="s">
        <v>141</v>
      </c>
      <c r="C93" s="20" t="s">
        <v>681</v>
      </c>
      <c r="D93" s="21" t="str">
        <f>VLOOKUP(C93,'3. 요건기술서 전체'!$B:$L,5,0)</f>
        <v xml:space="preserve"> 데이터 값 검증</v>
      </c>
    </row>
    <row r="94" spans="2:4" ht="12.75" customHeight="1" x14ac:dyDescent="0.3">
      <c r="B94" s="19" t="s">
        <v>141</v>
      </c>
      <c r="C94" s="20" t="s">
        <v>682</v>
      </c>
      <c r="D94" s="21" t="str">
        <f>VLOOKUP(C94,'3. 요건기술서 전체'!$B:$L,5,0)</f>
        <v xml:space="preserve"> 이관 데이터 값 검증</v>
      </c>
    </row>
    <row r="95" spans="2:4" ht="12.75" customHeight="1" x14ac:dyDescent="0.3">
      <c r="B95" s="19" t="s">
        <v>141</v>
      </c>
      <c r="C95" s="20" t="s">
        <v>683</v>
      </c>
      <c r="D95" s="21" t="str">
        <f>VLOOKUP(C95,'3. 요건기술서 전체'!$B:$L,5,0)</f>
        <v xml:space="preserve"> 데이터 관리체계 수립</v>
      </c>
    </row>
    <row r="96" spans="2:4" ht="12.75" customHeight="1" x14ac:dyDescent="0.3">
      <c r="B96" s="19" t="s">
        <v>141</v>
      </c>
      <c r="C96" s="20" t="s">
        <v>684</v>
      </c>
      <c r="D96" s="21" t="str">
        <f>VLOOKUP(C96,'3. 요건기술서 전체'!$B:$L,5,0)</f>
        <v>데이터 개방 및 메타데이터 관리체계</v>
      </c>
    </row>
    <row r="97" spans="2:4" ht="12.75" customHeight="1" x14ac:dyDescent="0.3">
      <c r="B97" s="19" t="s">
        <v>141</v>
      </c>
      <c r="C97" s="20" t="s">
        <v>685</v>
      </c>
      <c r="D97" s="21" t="str">
        <f>VLOOKUP(C97,'3. 요건기술서 전체'!$B:$L,5,0)</f>
        <v>DB 관리 방안</v>
      </c>
    </row>
    <row r="98" spans="2:4" ht="12.75" customHeight="1" x14ac:dyDescent="0.3">
      <c r="B98" s="19" t="s">
        <v>141</v>
      </c>
      <c r="C98" s="20" t="s">
        <v>686</v>
      </c>
      <c r="D98" s="21" t="str">
        <f>VLOOKUP(C98,'3. 요건기술서 전체'!$B:$L,5,0)</f>
        <v>DB 표준 준수</v>
      </c>
    </row>
    <row r="99" spans="2:4" ht="12.75" customHeight="1" x14ac:dyDescent="0.3">
      <c r="B99" s="19" t="s">
        <v>141</v>
      </c>
      <c r="C99" s="20" t="s">
        <v>687</v>
      </c>
      <c r="D99" s="21" t="str">
        <f>VLOOKUP(C99,'3. 요건기술서 전체'!$B:$L,5,0)</f>
        <v>AI 지원을 위한 데이터 구조 표준 수립</v>
      </c>
    </row>
    <row r="100" spans="2:4" ht="12.75" customHeight="1" x14ac:dyDescent="0.3">
      <c r="B100" s="19" t="s">
        <v>141</v>
      </c>
      <c r="C100" s="20" t="s">
        <v>688</v>
      </c>
      <c r="D100" s="21" t="str">
        <f>VLOOKUP(C100,'3. 요건기술서 전체'!$B:$L,5,0)</f>
        <v>데이터 관리 일반</v>
      </c>
    </row>
    <row r="101" spans="2:4" ht="12.75" customHeight="1" x14ac:dyDescent="0.3">
      <c r="B101" s="19" t="s">
        <v>147</v>
      </c>
      <c r="C101" s="20" t="s">
        <v>439</v>
      </c>
      <c r="D101" s="21" t="str">
        <f>VLOOKUP(C101,'3. 요건기술서 전체'!$B:$L,5,0)</f>
        <v>표준 제약사항</v>
      </c>
    </row>
    <row r="102" spans="2:4" ht="12.75" customHeight="1" x14ac:dyDescent="0.3">
      <c r="B102" s="19" t="s">
        <v>147</v>
      </c>
      <c r="C102" s="20" t="s">
        <v>441</v>
      </c>
      <c r="D102" s="21" t="str">
        <f>VLOOKUP(C102,'3. 요건기술서 전체'!$B:$L,5,0)</f>
        <v xml:space="preserve">감리 대응 </v>
      </c>
    </row>
    <row r="103" spans="2:4" ht="12.75" customHeight="1" x14ac:dyDescent="0.3">
      <c r="B103" s="19" t="s">
        <v>147</v>
      </c>
      <c r="C103" s="20" t="s">
        <v>443</v>
      </c>
      <c r="D103" s="21" t="str">
        <f>VLOOKUP(C103,'3. 요건기술서 전체'!$B:$L,5,0)</f>
        <v>기술적용계획표 및 결과표 작성</v>
      </c>
    </row>
    <row r="104" spans="2:4" ht="12.75" customHeight="1" x14ac:dyDescent="0.3">
      <c r="B104" s="19" t="s">
        <v>147</v>
      </c>
      <c r="C104" s="20" t="s">
        <v>445</v>
      </c>
      <c r="D104" s="21" t="str">
        <f>VLOOKUP(C104,'3. 요건기술서 전체'!$B:$L,5,0)</f>
        <v>개발 제약사항</v>
      </c>
    </row>
    <row r="105" spans="2:4" ht="12.75" customHeight="1" x14ac:dyDescent="0.3">
      <c r="B105" s="19" t="s">
        <v>147</v>
      </c>
      <c r="C105" s="20" t="s">
        <v>447</v>
      </c>
      <c r="D105" s="21" t="str">
        <f>VLOOKUP(C105,'3. 요건기술서 전체'!$B:$L,5,0)</f>
        <v>법적 제약사항</v>
      </c>
    </row>
    <row r="106" spans="2:4" ht="12.75" customHeight="1" x14ac:dyDescent="0.3">
      <c r="B106" s="19" t="s">
        <v>147</v>
      </c>
      <c r="C106" s="20" t="s">
        <v>449</v>
      </c>
      <c r="D106" s="21" t="str">
        <f>VLOOKUP(C106,'3. 요건기술서 전체'!$B:$L,5,0)</f>
        <v>기타 제약사항</v>
      </c>
    </row>
    <row r="107" spans="2:4" ht="12.75" customHeight="1" x14ac:dyDescent="0.3">
      <c r="B107" s="19" t="s">
        <v>147</v>
      </c>
      <c r="C107" s="20" t="s">
        <v>451</v>
      </c>
      <c r="D107" s="21" t="str">
        <f>VLOOKUP(C107,'3. 요건기술서 전체'!$B:$L,5,0)</f>
        <v>특허권 및 저작권 보호</v>
      </c>
    </row>
    <row r="108" spans="2:4" ht="12.75" customHeight="1" x14ac:dyDescent="0.3">
      <c r="B108" s="19" t="s">
        <v>52</v>
      </c>
      <c r="C108" s="20" t="s">
        <v>453</v>
      </c>
      <c r="D108" s="21" t="str">
        <f>VLOOKUP(C108,'3. 요건기술서 전체'!$B:$L,5,0)</f>
        <v>정보응답시간</v>
      </c>
    </row>
    <row r="109" spans="2:4" ht="12.75" customHeight="1" x14ac:dyDescent="0.3">
      <c r="B109" s="19" t="s">
        <v>52</v>
      </c>
      <c r="C109" s="20" t="s">
        <v>455</v>
      </c>
      <c r="D109" s="21" t="str">
        <f>VLOOKUP(C109,'3. 요건기술서 전체'!$B:$L,5,0)</f>
        <v>데이터 오류 응답시간</v>
      </c>
    </row>
    <row r="110" spans="2:4" ht="12.75" customHeight="1" x14ac:dyDescent="0.3">
      <c r="B110" s="19" t="s">
        <v>52</v>
      </c>
      <c r="C110" s="20" t="s">
        <v>457</v>
      </c>
      <c r="D110" s="21" t="str">
        <f>VLOOKUP(C110,'3. 요건기술서 전체'!$B:$L,5,0)</f>
        <v>동시 사용자 접속수</v>
      </c>
    </row>
    <row r="111" spans="2:4" ht="12.75" customHeight="1" x14ac:dyDescent="0.3">
      <c r="B111" s="19" t="s">
        <v>52</v>
      </c>
      <c r="C111" s="20" t="s">
        <v>459</v>
      </c>
      <c r="D111" s="21" t="str">
        <f>VLOOKUP(C111,'3. 요건기술서 전체'!$B:$L,5,0)</f>
        <v>시스템 부하 최적화</v>
      </c>
    </row>
    <row r="112" spans="2:4" ht="12.75" customHeight="1" x14ac:dyDescent="0.3">
      <c r="B112" s="19" t="s">
        <v>144</v>
      </c>
      <c r="C112" s="20" t="s">
        <v>461</v>
      </c>
      <c r="D112" s="21" t="str">
        <f>VLOOKUP(C112,'3. 요건기술서 전체'!$B:$L,5,0)</f>
        <v>품질관리</v>
      </c>
    </row>
    <row r="113" spans="2:4" ht="12.75" customHeight="1" x14ac:dyDescent="0.3">
      <c r="B113" s="19" t="s">
        <v>144</v>
      </c>
      <c r="C113" s="20" t="s">
        <v>463</v>
      </c>
      <c r="D113" s="21" t="str">
        <f>VLOOKUP(C113,'3. 요건기술서 전체'!$B:$L,5,0)</f>
        <v>형상 및 산출물 관리</v>
      </c>
    </row>
    <row r="114" spans="2:4" ht="12.75" customHeight="1" x14ac:dyDescent="0.3">
      <c r="B114" s="19" t="s">
        <v>144</v>
      </c>
      <c r="C114" s="20" t="s">
        <v>465</v>
      </c>
      <c r="D114" s="21" t="str">
        <f>VLOOKUP(C114,'3. 요건기술서 전체'!$B:$L,5,0)</f>
        <v>시스템 무중단 운영</v>
      </c>
    </row>
    <row r="115" spans="2:4" ht="12.75" customHeight="1" x14ac:dyDescent="0.3">
      <c r="B115" s="19" t="s">
        <v>144</v>
      </c>
      <c r="C115" s="20" t="s">
        <v>467</v>
      </c>
      <c r="D115" s="21" t="str">
        <f>VLOOKUP(C115,'3. 요건기술서 전체'!$B:$L,5,0)</f>
        <v>품질관리 일반요건</v>
      </c>
    </row>
    <row r="116" spans="2:4" ht="12.75" customHeight="1" x14ac:dyDescent="0.3">
      <c r="B116" s="19" t="s">
        <v>140</v>
      </c>
      <c r="C116" s="20" t="s">
        <v>469</v>
      </c>
      <c r="D116" s="21" t="str">
        <f>VLOOKUP(C116,'3. 요건기술서 전체'!$B:$L,5,0)</f>
        <v>시스템 연계</v>
      </c>
    </row>
    <row r="117" spans="2:4" ht="12.75" customHeight="1" x14ac:dyDescent="0.3">
      <c r="B117" s="19" t="s">
        <v>140</v>
      </c>
      <c r="C117" s="20" t="s">
        <v>471</v>
      </c>
      <c r="D117" s="21" t="str">
        <f>VLOOKUP(C117,'3. 요건기술서 전체'!$B:$L,5,0)</f>
        <v>인터페이스 설계</v>
      </c>
    </row>
    <row r="118" spans="2:4" ht="12.75" customHeight="1" x14ac:dyDescent="0.3">
      <c r="B118" s="19" t="s">
        <v>142</v>
      </c>
      <c r="C118" s="20" t="s">
        <v>473</v>
      </c>
      <c r="D118" s="21" t="str">
        <f>VLOOKUP(C118,'3. 요건기술서 전체'!$B:$L,5,0)</f>
        <v>테스트 방안 제시</v>
      </c>
    </row>
    <row r="119" spans="2:4" ht="12.75" customHeight="1" x14ac:dyDescent="0.3">
      <c r="B119" s="19" t="s">
        <v>142</v>
      </c>
      <c r="C119" s="20" t="s">
        <v>475</v>
      </c>
      <c r="D119" s="21" t="str">
        <f>VLOOKUP(C119,'3. 요건기술서 전체'!$B:$L,5,0)</f>
        <v>테스트 수행 및 결과 보고</v>
      </c>
    </row>
    <row r="120" spans="2:4" ht="12.75" customHeight="1" x14ac:dyDescent="0.3">
      <c r="B120" s="19" t="s">
        <v>145</v>
      </c>
      <c r="C120" s="20" t="s">
        <v>477</v>
      </c>
      <c r="D120" s="21" t="str">
        <f>VLOOKUP(C120,'3. 요건기술서 전체'!$B:$L,5,0)</f>
        <v>사업 수행계획</v>
      </c>
    </row>
    <row r="121" spans="2:4" ht="12.75" customHeight="1" x14ac:dyDescent="0.3">
      <c r="B121" s="19" t="s">
        <v>145</v>
      </c>
      <c r="C121" s="20" t="s">
        <v>479</v>
      </c>
      <c r="D121" s="21" t="str">
        <f>VLOOKUP(C121,'3. 요건기술서 전체'!$B:$L,5,0)</f>
        <v>위험관리 방안</v>
      </c>
    </row>
    <row r="122" spans="2:4" ht="12.75" customHeight="1" x14ac:dyDescent="0.3">
      <c r="B122" s="19" t="s">
        <v>145</v>
      </c>
      <c r="C122" s="20" t="s">
        <v>481</v>
      </c>
      <c r="D122" s="21" t="str">
        <f>VLOOKUP(C122,'3. 요건기술서 전체'!$B:$L,5,0)</f>
        <v>의사소통 방안</v>
      </c>
    </row>
    <row r="123" spans="2:4" ht="12.75" customHeight="1" x14ac:dyDescent="0.3">
      <c r="B123" s="19" t="s">
        <v>145</v>
      </c>
      <c r="C123" s="20" t="s">
        <v>483</v>
      </c>
      <c r="D123" s="21" t="str">
        <f>VLOOKUP(C123,'3. 요건기술서 전체'!$B:$L,5,0)</f>
        <v>사업보고</v>
      </c>
    </row>
    <row r="124" spans="2:4" ht="12.75" customHeight="1" x14ac:dyDescent="0.3">
      <c r="B124" s="19" t="s">
        <v>145</v>
      </c>
      <c r="C124" s="20" t="s">
        <v>485</v>
      </c>
      <c r="D124" s="21" t="str">
        <f>VLOOKUP(C124,'3. 요건기술서 전체'!$B:$L,5,0)</f>
        <v>준공 및 인수인계</v>
      </c>
    </row>
    <row r="125" spans="2:4" ht="12.75" customHeight="1" x14ac:dyDescent="0.3">
      <c r="B125" s="19" t="s">
        <v>145</v>
      </c>
      <c r="C125" s="20" t="s">
        <v>487</v>
      </c>
      <c r="D125" s="21" t="str">
        <f>VLOOKUP(C125,'3. 요건기술서 전체'!$B:$L,5,0)</f>
        <v>개발장소 및 환경</v>
      </c>
    </row>
    <row r="126" spans="2:4" ht="12.75" customHeight="1" x14ac:dyDescent="0.3">
      <c r="B126" s="19" t="s">
        <v>145</v>
      </c>
      <c r="C126" s="20" t="s">
        <v>489</v>
      </c>
      <c r="D126" s="21" t="str">
        <f>VLOOKUP(C126,'3. 요건기술서 전체'!$B:$L,5,0)</f>
        <v>사업 수행조직 및 인력 관리</v>
      </c>
    </row>
    <row r="127" spans="2:4" ht="12.75" customHeight="1" x14ac:dyDescent="0.3">
      <c r="B127" s="19" t="s">
        <v>145</v>
      </c>
      <c r="C127" s="20" t="s">
        <v>491</v>
      </c>
      <c r="D127" s="21" t="str">
        <f>VLOOKUP(C127,'3. 요건기술서 전체'!$B:$L,5,0)</f>
        <v>데이터 기반 자동화 공정 관리</v>
      </c>
    </row>
    <row r="128" spans="2:4" ht="12.75" customHeight="1" x14ac:dyDescent="0.3">
      <c r="B128" s="19" t="s">
        <v>145</v>
      </c>
      <c r="C128" s="20" t="s">
        <v>493</v>
      </c>
      <c r="D128" s="21" t="str">
        <f>VLOOKUP(C128,'3. 요건기술서 전체'!$B:$L,5,0)</f>
        <v>지능형 품질 보증(AI QA)</v>
      </c>
    </row>
    <row r="129" spans="2:4" ht="12.75" customHeight="1" x14ac:dyDescent="0.3">
      <c r="B129" s="19" t="s">
        <v>145</v>
      </c>
      <c r="C129" s="20" t="s">
        <v>619</v>
      </c>
      <c r="D129" s="21" t="str">
        <f>VLOOKUP(C129,'3. 요건기술서 전체'!$B:$L,5,0)</f>
        <v>AI 코딩 어시스턴트 환경 구축</v>
      </c>
    </row>
    <row r="130" spans="2:4" ht="12.75" customHeight="1" x14ac:dyDescent="0.3">
      <c r="B130" s="19" t="s">
        <v>146</v>
      </c>
      <c r="C130" s="20" t="s">
        <v>495</v>
      </c>
      <c r="D130" s="21" t="str">
        <f>VLOOKUP(C130,'3. 요건기술서 전체'!$B:$L,5,0)</f>
        <v>시스템 안정화 활동</v>
      </c>
    </row>
    <row r="131" spans="2:4" ht="12.75" customHeight="1" x14ac:dyDescent="0.3">
      <c r="B131" s="19" t="s">
        <v>146</v>
      </c>
      <c r="C131" s="20" t="s">
        <v>497</v>
      </c>
      <c r="D131" s="21" t="str">
        <f>VLOOKUP(C131,'3. 요건기술서 전체'!$B:$L,5,0)</f>
        <v>시험운영</v>
      </c>
    </row>
    <row r="132" spans="2:4" ht="12.75" customHeight="1" x14ac:dyDescent="0.3">
      <c r="B132" s="19" t="s">
        <v>146</v>
      </c>
      <c r="C132" s="20" t="s">
        <v>498</v>
      </c>
      <c r="D132" s="21" t="str">
        <f>VLOOKUP(C132,'3. 요건기술서 전체'!$B:$L,5,0)</f>
        <v>교육 및 기술 지원</v>
      </c>
    </row>
    <row r="133" spans="2:4" ht="12.75" customHeight="1" x14ac:dyDescent="0.3">
      <c r="B133" s="19" t="s">
        <v>146</v>
      </c>
      <c r="C133" s="20" t="s">
        <v>500</v>
      </c>
      <c r="D133" s="21" t="str">
        <f>VLOOKUP(C133,'3. 요건기술서 전체'!$B:$L,5,0)</f>
        <v>기술이전</v>
      </c>
    </row>
    <row r="134" spans="2:4" ht="12.75" customHeight="1" x14ac:dyDescent="0.3">
      <c r="B134" s="19" t="s">
        <v>146</v>
      </c>
      <c r="C134" s="20" t="s">
        <v>502</v>
      </c>
      <c r="D134" s="21" t="str">
        <f>VLOOKUP(C134,'3. 요건기술서 전체'!$B:$L,5,0)</f>
        <v>하자보수</v>
      </c>
    </row>
    <row r="135" spans="2:4" ht="12.75" customHeight="1" x14ac:dyDescent="0.3">
      <c r="B135" s="19" t="s">
        <v>146</v>
      </c>
      <c r="C135" s="20" t="s">
        <v>504</v>
      </c>
      <c r="D135" s="21" t="str">
        <f>VLOOKUP(C135,'3. 요건기술서 전체'!$B:$L,5,0)</f>
        <v>보안서약 및 책임</v>
      </c>
    </row>
    <row r="136" spans="2:4" ht="12.75" customHeight="1" x14ac:dyDescent="0.3">
      <c r="B136" s="19" t="s">
        <v>146</v>
      </c>
      <c r="C136" s="20" t="s">
        <v>506</v>
      </c>
      <c r="D136" s="21" t="str">
        <f>VLOOKUP(C136,'3. 요건기술서 전체'!$B:$L,5,0)</f>
        <v>인력보안관리</v>
      </c>
    </row>
    <row r="137" spans="2:4" ht="12.75" customHeight="1" x14ac:dyDescent="0.3">
      <c r="B137" s="19" t="s">
        <v>146</v>
      </c>
      <c r="C137" s="20" t="s">
        <v>508</v>
      </c>
      <c r="D137" s="21" t="str">
        <f>VLOOKUP(C137,'3. 요건기술서 전체'!$B:$L,5,0)</f>
        <v>정보보안 계획 수립 및 실행</v>
      </c>
    </row>
    <row r="138" spans="2:4" ht="12.75" customHeight="1" x14ac:dyDescent="0.3">
      <c r="B138" s="19" t="s">
        <v>146</v>
      </c>
      <c r="C138" s="20" t="s">
        <v>510</v>
      </c>
      <c r="D138" s="21" t="str">
        <f>VLOOKUP(C138,'3. 요건기술서 전체'!$B:$L,5,0)</f>
        <v>장애관리 및 백업</v>
      </c>
    </row>
    <row r="139" spans="2:4" ht="12.75" customHeight="1" x14ac:dyDescent="0.3">
      <c r="B139" s="19" t="s">
        <v>54</v>
      </c>
      <c r="C139" s="20" t="s">
        <v>512</v>
      </c>
      <c r="D139" s="21" t="str">
        <f>VLOOKUP(C139,'3. 요건기술서 전체'!$B:$L,5,0)</f>
        <v>표준화 방안 수립</v>
      </c>
    </row>
    <row r="140" spans="2:4" ht="12.75" customHeight="1" x14ac:dyDescent="0.3">
      <c r="B140" s="19" t="s">
        <v>54</v>
      </c>
      <c r="C140" s="20" t="s">
        <v>514</v>
      </c>
      <c r="D140" s="21" t="str">
        <f>VLOOKUP(C140,'3. 요건기술서 전체'!$B:$L,5,0)</f>
        <v>설비 표준화 및 DB화</v>
      </c>
    </row>
    <row r="141" spans="2:4" ht="12.75" customHeight="1" x14ac:dyDescent="0.3">
      <c r="B141" s="19" t="s">
        <v>54</v>
      </c>
      <c r="C141" s="20" t="s">
        <v>515</v>
      </c>
      <c r="D141" s="21" t="str">
        <f>VLOOKUP(C141,'3. 요건기술서 전체'!$B:$L,5,0)</f>
        <v>자재 표준화 및 DB화</v>
      </c>
    </row>
    <row r="142" spans="2:4" ht="12.75" customHeight="1" x14ac:dyDescent="0.3">
      <c r="B142" s="19" t="s">
        <v>54</v>
      </c>
      <c r="C142" s="20" t="s">
        <v>516</v>
      </c>
      <c r="D142" s="21" t="str">
        <f>VLOOKUP(C142,'3. 요건기술서 전체'!$B:$L,5,0)</f>
        <v>유지보수 표준화 및 DB화</v>
      </c>
    </row>
    <row r="143" spans="2:4" ht="15.75" thickBot="1" x14ac:dyDescent="0.35">
      <c r="B143" s="22" t="s">
        <v>54</v>
      </c>
      <c r="C143" s="23" t="s">
        <v>726</v>
      </c>
      <c r="D143" s="24" t="s">
        <v>727</v>
      </c>
    </row>
  </sheetData>
  <phoneticPr fontId="4" type="noConversion"/>
  <pageMargins left="0.23622047244094491" right="0.23622047244094491" top="0.74803149606299213" bottom="0.74803149606299213" header="0.31496062992125984" footer="0.31496062992125984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136"/>
  <sheetViews>
    <sheetView showZeros="0" view="pageBreakPreview" topLeftCell="E1006" zoomScale="130" zoomScaleNormal="55" zoomScaleSheetLayoutView="130" workbookViewId="0">
      <selection activeCell="H1013" sqref="H1013"/>
    </sheetView>
  </sheetViews>
  <sheetFormatPr defaultColWidth="8.875" defaultRowHeight="15" customHeight="1" x14ac:dyDescent="0.3"/>
  <cols>
    <col min="1" max="1" width="3.625" style="27" customWidth="1"/>
    <col min="2" max="3" width="7.625" style="28" customWidth="1"/>
    <col min="4" max="4" width="63" style="27" customWidth="1"/>
    <col min="5" max="6" width="16.625" style="27" customWidth="1"/>
    <col min="7" max="7" width="8.875" style="2"/>
    <col min="8" max="8" width="94.625" style="44" customWidth="1"/>
    <col min="9" max="16384" width="8.875" style="2"/>
  </cols>
  <sheetData>
    <row r="1" spans="2:8" ht="15.75" thickBot="1" x14ac:dyDescent="0.35">
      <c r="C1" s="29"/>
    </row>
    <row r="2" spans="2:8" x14ac:dyDescent="0.3">
      <c r="B2" s="96" t="s">
        <v>41</v>
      </c>
      <c r="C2" s="97"/>
      <c r="D2" s="30" t="str">
        <f>'1. 요구사항 총괄표'!B2</f>
        <v>시스템 요구사항</v>
      </c>
      <c r="E2" s="31" t="s">
        <v>131</v>
      </c>
      <c r="F2" s="32" t="str">
        <f>VLOOKUP($D3,'3. 요건기술서 전체'!$B:$L,6,0)</f>
        <v>필수</v>
      </c>
      <c r="H2" s="36" t="s">
        <v>224</v>
      </c>
    </row>
    <row r="3" spans="2:8" x14ac:dyDescent="0.3">
      <c r="B3" s="94" t="s">
        <v>42</v>
      </c>
      <c r="C3" s="95"/>
      <c r="D3" s="33" t="str">
        <f>'1. 요구사항 총괄표'!C2</f>
        <v>ECR-001</v>
      </c>
      <c r="E3" s="34" t="s">
        <v>85</v>
      </c>
      <c r="F3" s="35" t="str">
        <f>IFERROR(TRIM(IF(VLOOKUP($D3,'3. 요건기술서 전체'!$B:$L,10,0)&lt;&gt;"",IF(VLOOKUP($D3,'3. 요건기술서 전체'!$B:$L,10,0)="O", "한난O", IF(VLOOKUP($D3,'3. 요건기술서 전체'!$B:$L,10,0)="X", "한난X", "")),"") &amp; " " &amp;IF(VLOOKUP($D3,'3. 요건기술서 전체'!$B:$L,11,0)&lt;&gt;"",IF(VLOOKUP($D3,'3. 요건기술서 전체'!$B:$L,11,0)="O", "외부O", IF(VLOOKUP($D3,'3. 요건기술서 전체'!$B:$L,11,0)="X", "외부X", "")),"")),"")</f>
        <v/>
      </c>
      <c r="H3" s="36" t="s">
        <v>308</v>
      </c>
    </row>
    <row r="4" spans="2:8" x14ac:dyDescent="0.3">
      <c r="B4" s="94" t="s">
        <v>43</v>
      </c>
      <c r="C4" s="95"/>
      <c r="D4" s="85" t="str">
        <f>VLOOKUP($D3,'3. 요건기술서 전체'!$B:$L,5,0)</f>
        <v>공통기능 -인프라 구성 표준</v>
      </c>
      <c r="E4" s="86"/>
      <c r="F4" s="87"/>
      <c r="H4" s="37" t="s">
        <v>777</v>
      </c>
    </row>
    <row r="5" spans="2:8" x14ac:dyDescent="0.3">
      <c r="B5" s="98" t="s">
        <v>44</v>
      </c>
      <c r="C5" s="43" t="s">
        <v>45</v>
      </c>
      <c r="D5" s="85" t="str">
        <f>VLOOKUP($D3,'3. 요건기술서 전체'!$B:$L,7,0)</f>
        <v>인프라 구성 표준</v>
      </c>
      <c r="E5" s="86"/>
      <c r="F5" s="87"/>
      <c r="H5" s="37" t="s">
        <v>524</v>
      </c>
    </row>
    <row r="6" spans="2:8" ht="165.75" x14ac:dyDescent="0.3">
      <c r="B6" s="98"/>
      <c r="C6" s="43" t="s">
        <v>46</v>
      </c>
      <c r="D6" s="85" t="str">
        <f>VLOOKUP($D3,'3. 요건기술서 전체'!$B:$L,8,0)</f>
        <v>○ IT 인프라 구성 표준
 - OS : RHEL 9.4 이상
 - JDK : OpenJDK 17 이상
 - WEB : nginx 1.28 이상
 - WAS : Tomcat 9 이상
 - DB : Oracle 19c (Standard)
○ 개발환경 구성 표준
 - 전자정부프레임워크 기반 개발환경 준수
○ IT 인프라 구성 표준 준수 시, 우리 공사의 가상서버 제공 및 운영 지원
○ IT 인프라 구성 표준 및 개발환경 구성 표준 미준수 시,  제안사 직접 납품 및 운영·유지보수 방안 제시 필수
○ WEB/WAS/DB 등의 운영 Port는 우리 공사가 지정한 Port로 변경 운영 필수(Well -Known Port 사용 불가)
○ 우리 공사 직원의 업무환경인 가상 데스크탑 환경(VDI. 이하, 내부 업무환경)에서 속도 저하 및 지연없이 모든 서비스 제공
○ Microsoft Edge 브라우저에서 추가 프로그램(플러그인 등) 설치없이 모든 기능 제공</v>
      </c>
      <c r="E6" s="86"/>
      <c r="F6" s="87"/>
      <c r="H6" s="37" t="s">
        <v>1046</v>
      </c>
    </row>
    <row r="7" spans="2:8" x14ac:dyDescent="0.3">
      <c r="B7" s="90" t="s">
        <v>871</v>
      </c>
      <c r="C7" s="91"/>
      <c r="D7" s="88" t="str">
        <f>VLOOKUP(D3, '3. 요건기술서 전체'!$B:$L, 9, 0)</f>
        <v>아키텍쳐 설계서</v>
      </c>
      <c r="E7" s="88"/>
      <c r="F7" s="89"/>
      <c r="H7" s="37" t="s">
        <v>1047</v>
      </c>
    </row>
    <row r="8" spans="2:8" ht="15.75" thickBot="1" x14ac:dyDescent="0.35">
      <c r="B8" s="92" t="s">
        <v>47</v>
      </c>
      <c r="C8" s="93"/>
      <c r="D8" s="99">
        <f>VLOOKUP($D3,'3. 요건기술서 전체'!$B:$L,2,0)</f>
        <v>0</v>
      </c>
      <c r="E8" s="100"/>
      <c r="F8" s="101"/>
      <c r="H8" s="44">
        <v>0</v>
      </c>
    </row>
    <row r="9" spans="2:8" ht="15.75" thickBot="1" x14ac:dyDescent="0.35">
      <c r="H9" s="36"/>
    </row>
    <row r="10" spans="2:8" x14ac:dyDescent="0.3">
      <c r="B10" s="96" t="s">
        <v>41</v>
      </c>
      <c r="C10" s="97"/>
      <c r="D10" s="30" t="s">
        <v>53</v>
      </c>
      <c r="E10" s="31" t="s">
        <v>131</v>
      </c>
      <c r="F10" s="32" t="str">
        <f>VLOOKUP($D11,'3. 요건기술서 전체'!$B:$L,6,0)</f>
        <v>필수</v>
      </c>
      <c r="H10" s="36" t="s">
        <v>689</v>
      </c>
    </row>
    <row r="11" spans="2:8" x14ac:dyDescent="0.3">
      <c r="B11" s="94" t="s">
        <v>42</v>
      </c>
      <c r="C11" s="95"/>
      <c r="D11" s="33" t="str">
        <f>'1. 요구사항 총괄표'!C3</f>
        <v>SFR-001</v>
      </c>
      <c r="E11" s="34" t="s">
        <v>85</v>
      </c>
      <c r="F11" s="35" t="str">
        <f>IFERROR(TRIM(IF(VLOOKUP($D11,'3. 요건기술서 전체'!$B:$L,10,0)&lt;&gt;"",IF(VLOOKUP($D11,'3. 요건기술서 전체'!$B:$L,10,0)="O", "한난O", IF(VLOOKUP($D11,'3. 요건기술서 전체'!$B:$L,10,0)="X", "한난X", "")),"") &amp; " " &amp;IF(VLOOKUP($D11,'3. 요건기술서 전체'!$B:$L,11,0)&lt;&gt;"",IF(VLOOKUP($D11,'3. 요건기술서 전체'!$B:$L,11,0)="O", "외부O", IF(VLOOKUP($D11,'3. 요건기술서 전체'!$B:$L,11,0)="X", "외부X", "")),"")),"")</f>
        <v/>
      </c>
      <c r="H11" s="37" t="s">
        <v>309</v>
      </c>
    </row>
    <row r="12" spans="2:8" x14ac:dyDescent="0.3">
      <c r="B12" s="94" t="s">
        <v>43</v>
      </c>
      <c r="C12" s="95"/>
      <c r="D12" s="85" t="str">
        <f>VLOOKUP($D11,'3. 요건기술서 전체'!$B:$L,5,0)</f>
        <v>공통기능 -계정 및 권한</v>
      </c>
      <c r="E12" s="86"/>
      <c r="F12" s="87"/>
      <c r="H12" s="37" t="s">
        <v>778</v>
      </c>
    </row>
    <row r="13" spans="2:8" x14ac:dyDescent="0.3">
      <c r="B13" s="98" t="s">
        <v>44</v>
      </c>
      <c r="C13" s="43" t="s">
        <v>45</v>
      </c>
      <c r="D13" s="85" t="str">
        <f>VLOOKUP($D11,'3. 요건기술서 전체'!$B:$L,7,0)</f>
        <v>계정 및 권한</v>
      </c>
      <c r="E13" s="86"/>
      <c r="F13" s="87"/>
      <c r="H13" s="37" t="s">
        <v>525</v>
      </c>
    </row>
    <row r="14" spans="2:8" ht="280.5" x14ac:dyDescent="0.3">
      <c r="B14" s="98"/>
      <c r="C14" s="43" t="s">
        <v>46</v>
      </c>
      <c r="D14" s="85" t="str">
        <f>VLOOKUP($D11,'3. 요건기술서 전체'!$B:$L,8,0)</f>
        <v>○ 계정 및 권한관리
 - 로그인 계정별 관리자 권한과 사용자 권한 관리 기능
 - 관리자 권한으로 권한 그룹 관리 및 주요 시스템 설정 수행
 - 사용자별 권한 및 역할에 따른 관리 기능(메뉴접근/승인/조회/공사/작업/예약/주요정보 등)
 - 외부 협력사 계정은 계약 기간에 따른 '사용 유효기간(Expiry Date)' 설정 기능을 필수 제공하고, 기간 만료 시 자동 잠금(Lock) 처리되어야 함
 - 계약 만료일 이전에 사전 만료일 통보 및 자동 연장 기능 제공
○ 로그인 시 보직 선택 기능 제공
 - 인사 시스템의 '부서' 정보만으로는 사용자의 구체적인 수행 업무(기계/전기/제어/안전 등)를 식별할 수 없으므로, 최초 로그인 또는 권한 변경 필요 시 사용자가 자신의 '보직(Role)'을 직접 선택할 수 있는 팝업 화면을 제공해야 한다.
○ 보직 선택에 따른 권한 자동 매핑
 - 사용자가 선택한 보직에 따라, 사전에 정의된 '권한 그룹(Role)'과 '메뉴 접근 권한'이 즉시 시스템에 반영되어야 한다.
○ 다중 보직 및 겸직 지원
 - 2개 이상의 보직을 수행하는 겸직 사용자(파견 등) 를 위해, 로그인 후에도 상단 메뉴바 등을 통해 보직(Workspace) 전환이 가능하도록 구현해야 한다.
○ 보직 변경 이력 관리
 - 사용자가 보직을 선택하거나 변경한 이력(변경일시, 변경 전/후 보직, 접속 IP 등)은 시스템에 기록 및 보관되어야 한다.
○ 동일 ID 중복 역할인 경우, 한 번에 처리
 - 두 가지 이상 직책을 동일 직원이 중복해서 맡을 경우, 중복업무를 한 번에 처리(동일 ID로 검토 시 동일 문건 중 한 건이 처리되면 다른 건도 자동으로 처리)
 EX) (당초) 홍길동 기안 – 홍길동 팀장 – OOO 부장 -&gt; (변경) 홍길동 기안 –   (생략)   – OOO 부장
○ Project OBS 설정 방법
 - 인사발령 등으로 인한 변경시 즉시 반영될 수 있도록 OBS(Organization Breakdown Structure) 설정 방법에 대한 개선
 - 관리자가 변경되는 조직에 맞게 OBS를 유동적으로 변경할 수 있도록 설정 가능</v>
      </c>
      <c r="E14" s="86"/>
      <c r="F14" s="87"/>
      <c r="H14" s="37" t="s">
        <v>1048</v>
      </c>
    </row>
    <row r="15" spans="2:8" x14ac:dyDescent="0.3">
      <c r="B15" s="90" t="s">
        <v>871</v>
      </c>
      <c r="C15" s="91"/>
      <c r="D15" s="88" t="str">
        <f>VLOOKUP(D11, '3. 요건기술서 전체'!$B:$L, 9, 0)</f>
        <v>메뉴구성 및 권한정의서</v>
      </c>
      <c r="E15" s="88"/>
      <c r="F15" s="89"/>
      <c r="H15" s="44" t="s">
        <v>1049</v>
      </c>
    </row>
    <row r="16" spans="2:8" ht="15.75" thickBot="1" x14ac:dyDescent="0.35">
      <c r="B16" s="92" t="s">
        <v>47</v>
      </c>
      <c r="C16" s="93"/>
      <c r="D16" s="99">
        <f>VLOOKUP($D11,'3. 요건기술서 전체'!$B:$L,2,0)</f>
        <v>0</v>
      </c>
      <c r="E16" s="100"/>
      <c r="F16" s="101"/>
      <c r="H16" s="36">
        <v>0</v>
      </c>
    </row>
    <row r="17" spans="2:8" ht="15.75" thickBot="1" x14ac:dyDescent="0.35">
      <c r="H17" s="36"/>
    </row>
    <row r="18" spans="2:8" x14ac:dyDescent="0.3">
      <c r="B18" s="96" t="s">
        <v>41</v>
      </c>
      <c r="C18" s="97"/>
      <c r="D18" s="30" t="s">
        <v>53</v>
      </c>
      <c r="E18" s="31" t="s">
        <v>131</v>
      </c>
      <c r="F18" s="32" t="str">
        <f>VLOOKUP($D19,'3. 요건기술서 전체'!$B:$L,6,0)</f>
        <v>필수</v>
      </c>
      <c r="H18" s="37" t="s">
        <v>689</v>
      </c>
    </row>
    <row r="19" spans="2:8" x14ac:dyDescent="0.3">
      <c r="B19" s="94" t="s">
        <v>42</v>
      </c>
      <c r="C19" s="95"/>
      <c r="D19" s="33" t="str">
        <f>LEFT(D11,3)&amp;"-"&amp;TEXT(VALUE(RIGHT(D11,3))+1,"000")</f>
        <v>SFR-002</v>
      </c>
      <c r="E19" s="34" t="s">
        <v>85</v>
      </c>
      <c r="F19" s="35" t="str">
        <f>IFERROR(TRIM(IF(VLOOKUP($D19,'3. 요건기술서 전체'!$B:$L,10,0)&lt;&gt;"",IF(VLOOKUP($D19,'3. 요건기술서 전체'!$B:$L,10,0)="O", "한난O", IF(VLOOKUP($D19,'3. 요건기술서 전체'!$B:$L,10,0)="X", "한난X", "")),"") &amp; " " &amp;IF(VLOOKUP($D19,'3. 요건기술서 전체'!$B:$L,11,0)&lt;&gt;"",IF(VLOOKUP($D19,'3. 요건기술서 전체'!$B:$L,11,0)="O", "외부O", IF(VLOOKUP($D19,'3. 요건기술서 전체'!$B:$L,11,0)="X", "외부X", "")),"")),"")</f>
        <v/>
      </c>
      <c r="H19" s="37" t="s">
        <v>310</v>
      </c>
    </row>
    <row r="20" spans="2:8" x14ac:dyDescent="0.3">
      <c r="B20" s="94" t="s">
        <v>43</v>
      </c>
      <c r="C20" s="95"/>
      <c r="D20" s="85" t="str">
        <f>VLOOKUP($D19,'3. 요건기술서 전체'!$B:$L,5,0)</f>
        <v>공통기능 -모바일</v>
      </c>
      <c r="E20" s="86"/>
      <c r="F20" s="87"/>
      <c r="H20" s="37" t="s">
        <v>779</v>
      </c>
    </row>
    <row r="21" spans="2:8" x14ac:dyDescent="0.3">
      <c r="B21" s="98" t="s">
        <v>44</v>
      </c>
      <c r="C21" s="43" t="s">
        <v>45</v>
      </c>
      <c r="D21" s="85" t="str">
        <f>VLOOKUP($D19,'3. 요건기술서 전체'!$B:$L,7,0)</f>
        <v>모바일 공통 기능</v>
      </c>
      <c r="E21" s="86"/>
      <c r="F21" s="87"/>
      <c r="H21" s="37" t="s">
        <v>526</v>
      </c>
    </row>
    <row r="22" spans="2:8" ht="255" x14ac:dyDescent="0.3">
      <c r="B22" s="98"/>
      <c r="C22" s="43" t="s">
        <v>46</v>
      </c>
      <c r="D22" s="85" t="str">
        <f>VLOOKUP($D19,'3. 요건기술서 전체'!$B:$L,8,0)</f>
        <v>○ 모바일 공통 기능
 - 기능 요구사항에서 '모바일'로 표시된 기능은 내부 직원 및 외부(협력사/시공사 등) 직원으로 구분하여 모바일에서 제공
 - 모바일은 Android OS 와 iOS 를 지원
 - 사용자별 권한 및 역할에 따른 승인 처리 기능
 - 승인/이상/공사/작업/예약/주요정보 등의 알림(알람)을 모바일 PUSH로 제공
○ 모바일 기능은 개인 모바일, 지급형 단말기(내부망 접근) 구성으로 분리하여 제공
 - 시스템은 사용자가 접속한 단말기 유형(개인용/지급형)과 네트워크(외부망/내부망)을 자동식별하여, 그에 맞는 메인화면과 메뉴트리를 동적으로 구성
○ 모바일 기능은 우리 공사에서 기 운영 중인 '스마트 안전관리' 모바일 앱과 분리하여 별도로 운영할 수 있는 방안 제안 필수
○ 모바일 기능은 우리 공사의 보안등급(C -Classified, 기밀/S -Sensitive, 민감/O -Open, 공개)을 준용하여 보안성 검토를 받아야 한다
○ 모바일 기능은 모바일 환경(개인모바일, 지급형 단말기) UI/UX 최적화
○ 네트워크 음영지역(지하 공동구 등)에서도 점검 결과 입력 및 조회가 가능하도록 오프라인 모드(Data Caching &amp; Sync) 기능 필수 제공
○ 모바일 보안을 위해 화면 캡처 방지, 루팅 감지 등 공사 모바일 보안 가이드라인 준수 및 MDM 연동 지원
○ 하이브리드/웹 표준 기반 디바이스 제어: 모바일 웹 환경에서도 현장 업무 처리를 위해 스마트폰의 카메라, GPS, 파일 시스템에 직접 접근할 수 있는 Web API 또는 하이브리드 브릿지 기술을 적용해야 한다.
○ QR/바코드 스캔 및 처리: 별도의 스캐너 장비 없이 스마트폰 카메라를 통해 자재/설비의 QR(바코드)를 인식하고, 즉시 해당 정보 조회 화면으로 이동하거나 데이터를 입력하는 기능을 제공해야 한다.
○ 현장 사진 촬영 및 최적화: 현장에서 점검/보수 내역 작성 시 카메라를 호출하여 사진을 촬영하고, 서버 전송 용량 최적화(리사이징/압축) 후 즉시 첨부하는 기능을 제공해야 한다.
○ 위치 기반(GPS) 작업 통제: 작업자가 실제 현장에 도착했는지 확인하기 위해 GPS 좌표를 수집한다.(GPS 수집 대상 단말기와 대상은 구축시 협의)</v>
      </c>
      <c r="E22" s="86"/>
      <c r="F22" s="87"/>
      <c r="H22" s="44" t="s">
        <v>1050</v>
      </c>
    </row>
    <row r="23" spans="2:8" x14ac:dyDescent="0.3">
      <c r="B23" s="90" t="s">
        <v>871</v>
      </c>
      <c r="C23" s="91"/>
      <c r="D23" s="88">
        <f>VLOOKUP(D19, '3. 요건기술서 전체'!$B:$L, 9, 0)</f>
        <v>0</v>
      </c>
      <c r="E23" s="88"/>
      <c r="F23" s="89"/>
      <c r="H23" s="36">
        <v>0</v>
      </c>
    </row>
    <row r="24" spans="2:8" ht="15.75" thickBot="1" x14ac:dyDescent="0.35">
      <c r="B24" s="92" t="s">
        <v>47</v>
      </c>
      <c r="C24" s="93"/>
      <c r="D24" s="99">
        <f>VLOOKUP($D19,'3. 요건기술서 전체'!$B:$L,2,0)</f>
        <v>0</v>
      </c>
      <c r="E24" s="100"/>
      <c r="F24" s="101"/>
      <c r="H24" s="36">
        <v>0</v>
      </c>
    </row>
    <row r="25" spans="2:8" ht="15.75" thickBot="1" x14ac:dyDescent="0.35">
      <c r="H25" s="37"/>
    </row>
    <row r="26" spans="2:8" x14ac:dyDescent="0.3">
      <c r="B26" s="96" t="s">
        <v>41</v>
      </c>
      <c r="C26" s="97"/>
      <c r="D26" s="30" t="s">
        <v>53</v>
      </c>
      <c r="E26" s="31" t="s">
        <v>131</v>
      </c>
      <c r="F26" s="32" t="str">
        <f>VLOOKUP($D27,'3. 요건기술서 전체'!$B:$L,6,0)</f>
        <v>필수</v>
      </c>
      <c r="H26" s="37" t="s">
        <v>689</v>
      </c>
    </row>
    <row r="27" spans="2:8" x14ac:dyDescent="0.3">
      <c r="B27" s="94" t="s">
        <v>42</v>
      </c>
      <c r="C27" s="95"/>
      <c r="D27" s="33" t="str">
        <f>LEFT(D19,3)&amp;"-"&amp;TEXT(VALUE(RIGHT(D19,3))+1,"000")</f>
        <v>SFR-003</v>
      </c>
      <c r="E27" s="34" t="s">
        <v>85</v>
      </c>
      <c r="F27" s="35" t="str">
        <f>IFERROR(TRIM(IF(VLOOKUP($D27,'3. 요건기술서 전체'!$B:$L,10,0)&lt;&gt;"",IF(VLOOKUP($D27,'3. 요건기술서 전체'!$B:$L,10,0)="O", "한난O", IF(VLOOKUP($D27,'3. 요건기술서 전체'!$B:$L,10,0)="X", "한난X", "")),"") &amp; " " &amp;IF(VLOOKUP($D27,'3. 요건기술서 전체'!$B:$L,11,0)&lt;&gt;"",IF(VLOOKUP($D27,'3. 요건기술서 전체'!$B:$L,11,0)="O", "외부O", IF(VLOOKUP($D27,'3. 요건기술서 전체'!$B:$L,11,0)="X", "외부X", "")),"")),"")</f>
        <v/>
      </c>
      <c r="H27" s="37" t="s">
        <v>311</v>
      </c>
    </row>
    <row r="28" spans="2:8" x14ac:dyDescent="0.3">
      <c r="B28" s="94" t="s">
        <v>43</v>
      </c>
      <c r="C28" s="95"/>
      <c r="D28" s="85" t="str">
        <f>VLOOKUP($D27,'3. 요건기술서 전체'!$B:$L,5,0)</f>
        <v>공통기능 -정보 조회</v>
      </c>
      <c r="E28" s="86"/>
      <c r="F28" s="87"/>
      <c r="H28" s="37" t="s">
        <v>780</v>
      </c>
    </row>
    <row r="29" spans="2:8" x14ac:dyDescent="0.3">
      <c r="B29" s="98" t="s">
        <v>44</v>
      </c>
      <c r="C29" s="43" t="s">
        <v>45</v>
      </c>
      <c r="D29" s="85" t="str">
        <f>VLOOKUP($D27,'3. 요건기술서 전체'!$B:$L,7,0)</f>
        <v>정보 조회 기능</v>
      </c>
      <c r="E29" s="86"/>
      <c r="F29" s="87"/>
      <c r="H29" s="44" t="s">
        <v>527</v>
      </c>
    </row>
    <row r="30" spans="2:8" ht="229.5" x14ac:dyDescent="0.3">
      <c r="B30" s="98"/>
      <c r="C30" s="43" t="s">
        <v>46</v>
      </c>
      <c r="D30" s="85" t="str">
        <f>VLOOKUP($D27,'3. 요건기술서 전체'!$B:$L,8,0)</f>
        <v>○ 정보 조회 기능
 - 로그인한 사용자의 소속 지사를 기준으로 자재·설비·작업·공사 등의 정보 조회
 - 모든 정보는 사용자의 조회 조건에 따라 소속 지사 정보와 타지사 정보 조회 가능
 - 조회 결과로 표시되는 모든 항목에 대해 조회 조건을 설정할 수 있어야 하며, 문자열·숫자·날짜·부울값 등의 범위·값·포함여부조건 등 설정 기능
 - 모든 항목에 대한 조건 검색 시, 대용량 데이터 조회 속도 보장을 위한 서버 사이드(Server-side) 필터링 및 인덱싱 최적화 방안 제시
 - 협력사 사용자의 메뉴 접근 및 메뉴별 정보 조회·등록·수정 등 권한 설정 기능
 - PDF/이미지 파일 등은 다운로드 및 브라우저에서 직접 보기 기능
    직접보기 기능 구현을 위한 상용 뷰어 솔루션은 직접구매 제공 예정이며, 시스템과 연계 및 최적화 지원
 - 모든 조회 결과는 엑셀 다운로드 기능 제공(모바일 환경 시, 다운로드 기능 제외)
 - 승인이 필요한 업무의 경우, 승인선관리/진행단계표시/승인/반려 등의 정보 조회 기능(시스템 內 승인 처리 기능)
 - 우리 공사 전자결재를 활용한 승인 업무의 경우, 전자결재 연계 처리 및 진행상태 조회 기능
 - 업무별 우리 공사 보고서 양식을 준수하는 출력 기능 제공
○ 모바일 기능은 개인 모바일, 지급형 단말기(내부망 접근) 접근에 따라 정보 조회 및 권한 차등 적용
 - 개인용 : 보안과 무관한 일반업무 위주의 경량화된 UI 제공(현장점검 입력,  로그시트입력, TM발행, 현장사진 업로드 기능 등)
 - 지급형 : 현장점검, 설비 및 도면 조회 등 핵심업무 수행을 위한 데이터 중심 UI 제공(VPN 및 공사 보안 규정 및 국정원 가이드라인 준수)
○ 통계 기능
 - 주요 기능 및 업무에 대한 통계 정보 제공(통계 대상 및 범위는 사업 수행 시, 협의)
 - 관리자 또는 사용자의 통계 정보 범위, 대상, 결과, 차트 등의 변경/설정 기능 제공</v>
      </c>
      <c r="E30" s="86"/>
      <c r="F30" s="87"/>
      <c r="H30" s="36" t="s">
        <v>1127</v>
      </c>
    </row>
    <row r="31" spans="2:8" x14ac:dyDescent="0.3">
      <c r="B31" s="90" t="s">
        <v>871</v>
      </c>
      <c r="C31" s="91"/>
      <c r="D31" s="88">
        <f>VLOOKUP(D27, '3. 요건기술서 전체'!$B:$L, 9, 0)</f>
        <v>0</v>
      </c>
      <c r="E31" s="88"/>
      <c r="F31" s="89"/>
      <c r="H31" s="36">
        <v>0</v>
      </c>
    </row>
    <row r="32" spans="2:8" ht="15.75" thickBot="1" x14ac:dyDescent="0.35">
      <c r="B32" s="92" t="s">
        <v>47</v>
      </c>
      <c r="C32" s="93"/>
      <c r="D32" s="99">
        <f>VLOOKUP($D27,'3. 요건기술서 전체'!$B:$L,2,0)</f>
        <v>0</v>
      </c>
      <c r="E32" s="100"/>
      <c r="F32" s="101"/>
      <c r="H32" s="37">
        <v>0</v>
      </c>
    </row>
    <row r="33" spans="2:8" ht="15.75" thickBot="1" x14ac:dyDescent="0.35">
      <c r="H33" s="37"/>
    </row>
    <row r="34" spans="2:8" x14ac:dyDescent="0.3">
      <c r="B34" s="96" t="s">
        <v>41</v>
      </c>
      <c r="C34" s="97"/>
      <c r="D34" s="30" t="s">
        <v>53</v>
      </c>
      <c r="E34" s="31" t="s">
        <v>131</v>
      </c>
      <c r="F34" s="32" t="str">
        <f>VLOOKUP($D35,'3. 요건기술서 전체'!$B:$L,6,0)</f>
        <v>필수</v>
      </c>
      <c r="H34" s="37" t="s">
        <v>689</v>
      </c>
    </row>
    <row r="35" spans="2:8" x14ac:dyDescent="0.3">
      <c r="B35" s="94" t="s">
        <v>42</v>
      </c>
      <c r="C35" s="95"/>
      <c r="D35" s="33" t="str">
        <f>LEFT(D27,3)&amp;"-"&amp;TEXT(VALUE(RIGHT(D27,3))+1,"000")</f>
        <v>SFR-004</v>
      </c>
      <c r="E35" s="34" t="s">
        <v>85</v>
      </c>
      <c r="F35" s="35" t="str">
        <f>IFERROR(TRIM(IF(VLOOKUP($D35,'3. 요건기술서 전체'!$B:$L,10,0)&lt;&gt;"",IF(VLOOKUP($D35,'3. 요건기술서 전체'!$B:$L,10,0)="O", "한난O", IF(VLOOKUP($D35,'3. 요건기술서 전체'!$B:$L,10,0)="X", "한난X", "")),"") &amp; " " &amp;IF(VLOOKUP($D35,'3. 요건기술서 전체'!$B:$L,11,0)&lt;&gt;"",IF(VLOOKUP($D35,'3. 요건기술서 전체'!$B:$L,11,0)="O", "외부O", IF(VLOOKUP($D35,'3. 요건기술서 전체'!$B:$L,11,0)="X", "외부X", "")),"")),"")</f>
        <v/>
      </c>
      <c r="H35" s="37" t="s">
        <v>312</v>
      </c>
    </row>
    <row r="36" spans="2:8" x14ac:dyDescent="0.3">
      <c r="B36" s="94" t="s">
        <v>43</v>
      </c>
      <c r="C36" s="95"/>
      <c r="D36" s="85" t="str">
        <f>VLOOKUP($D35,'3. 요건기술서 전체'!$B:$L,5,0)</f>
        <v>사용자 인터페이스(UI/UX)</v>
      </c>
      <c r="E36" s="86"/>
      <c r="F36" s="87"/>
      <c r="H36" s="44" t="s">
        <v>313</v>
      </c>
    </row>
    <row r="37" spans="2:8" x14ac:dyDescent="0.3">
      <c r="B37" s="98" t="s">
        <v>44</v>
      </c>
      <c r="C37" s="43" t="s">
        <v>45</v>
      </c>
      <c r="D37" s="85" t="str">
        <f>VLOOKUP($D35,'3. 요건기술서 전체'!$B:$L,7,0)</f>
        <v>사용자 인터페이스(UI/UX)</v>
      </c>
      <c r="E37" s="86"/>
      <c r="F37" s="87"/>
      <c r="H37" s="36" t="s">
        <v>313</v>
      </c>
    </row>
    <row r="38" spans="2:8" ht="178.5" x14ac:dyDescent="0.3">
      <c r="B38" s="98"/>
      <c r="C38" s="43" t="s">
        <v>46</v>
      </c>
      <c r="D38" s="85" t="str">
        <f>VLOOKUP($D35,'3. 요건기술서 전체'!$B:$L,8,0)</f>
        <v>○ 사용자 인터페이스
 - 목록 정보는 그리드 형태로 표시하며, 각 열의 그리드 헤더에서 조회 조건(문자열·숫자·날짜·부울값 등) 범위·값·포함여부조건 등 설정 기능
 - 조회 결과는 일정량을 우선 표시하고, 스크롤 시 조회 결과 추가(Fetch) 또는 기능
 - 조회 결과에서 특정 열 선택 시, 새창/새탭/팝업 등으로 상세 정보 및 연관 정보 표시 기능
 - 탭의 경우, 새탭 생성 시 최초 로딩 이후 탭 간 이동 시 로딩 제거(탭별 사용자 새로고침에 의한 로딩)
 - 탭 방식 인터페이스 구현 시, 다중 탭 오픈에 따른 클라이언트(VDI 환경 포함) 메모리 점유율 최적화 방안(비활성 탭 리소스 관리 등) 제시
 - 사용자 즐겨찾기 메뉴 구성 기능
 - 사이드 메뉴/상단 메뉴 등 화면을 구성하는 주요 콤포넌트의 보이기/숨기기 기능
 - 주요 알림 및 긴급 알람 등은 모든 메뉴의 공통 영역에서 실시간 표시(숫자/리스트/요약정보/상세정보 등)하고 상시 관련 정보 접근 가능
 - 주요 입력 항목의 설명 및 도움말 제공(툴팁 등), 필수값 입력 강제 등의 검증 기능
 - 사용자 편의성을 보장하는 UI/UX 제공
 - 사용자 중심의 UI/UX 설계
 - 사용자는 End to End 로 업무프로세스가 진행되는것 을 확인할 수 있도록 상단에 현재 업무과정을 표기하여야한다.
 - 상단의 업무프로세스 UI를 클릭스 타 레거시의 해당 메뉴로 진입할 수 있도록 URL을 연결한다. 
 - 상단의 업무프로세스 과정에서 타부서의 결재 과정이나, 시스템의 오류사항을 수시로 점검하여 반영한다.
○ 외부망 웹페이지는 협력사의 다양한 PC환경 및 모바일 브라우저를 고려하여 반응형(또는 모바일웹) 등 최적화된 UI/UX를 제공
○ 전사 UI/UX 표준화를 위한 웹 디자인을 제시하여 업무시스템간 시각적,기능적 통일성을 확보하고 유사한 사용자 경험을 제공
(HTML5 기반 업무포털과 연계하여 포털 중앙화면에서 통합 제공 등)</v>
      </c>
      <c r="E38" s="86"/>
      <c r="F38" s="87"/>
      <c r="H38" s="36" t="s">
        <v>1128</v>
      </c>
    </row>
    <row r="39" spans="2:8" ht="38.25" x14ac:dyDescent="0.3">
      <c r="B39" s="90" t="s">
        <v>871</v>
      </c>
      <c r="C39" s="91"/>
      <c r="D39" s="88" t="str">
        <f>VLOOKUP(D35, '3. 요건기술서 전체'!$B:$L, 9, 0)</f>
        <v>메뉴 목록 및 응용기능 차트,
메뉴 구성도,
화면설계서,
UI/UX 표준화 계획(안)</v>
      </c>
      <c r="E39" s="88"/>
      <c r="F39" s="89"/>
      <c r="H39" s="37" t="s">
        <v>1051</v>
      </c>
    </row>
    <row r="40" spans="2:8" ht="15.75" thickBot="1" x14ac:dyDescent="0.35">
      <c r="B40" s="92" t="s">
        <v>47</v>
      </c>
      <c r="C40" s="93"/>
      <c r="D40" s="99">
        <f>VLOOKUP($D35,'3. 요건기술서 전체'!$B:$L,2,0)</f>
        <v>0</v>
      </c>
      <c r="E40" s="100"/>
      <c r="F40" s="101"/>
      <c r="H40" s="37">
        <v>0</v>
      </c>
    </row>
    <row r="41" spans="2:8" ht="15.75" thickBot="1" x14ac:dyDescent="0.35">
      <c r="H41" s="37"/>
    </row>
    <row r="42" spans="2:8" x14ac:dyDescent="0.3">
      <c r="B42" s="96" t="s">
        <v>41</v>
      </c>
      <c r="C42" s="97"/>
      <c r="D42" s="30" t="s">
        <v>53</v>
      </c>
      <c r="E42" s="31" t="s">
        <v>131</v>
      </c>
      <c r="F42" s="32" t="str">
        <f>VLOOKUP($D43,'3. 요건기술서 전체'!$B:$L,6,0)</f>
        <v>필수</v>
      </c>
      <c r="H42" s="37" t="s">
        <v>689</v>
      </c>
    </row>
    <row r="43" spans="2:8" x14ac:dyDescent="0.3">
      <c r="B43" s="94" t="s">
        <v>42</v>
      </c>
      <c r="C43" s="95"/>
      <c r="D43" s="33" t="str">
        <f>LEFT(D35,3)&amp;"-"&amp;TEXT(VALUE(RIGHT(D35,3))+1,"000")</f>
        <v>SFR-005</v>
      </c>
      <c r="E43" s="34" t="s">
        <v>85</v>
      </c>
      <c r="F43" s="35" t="str">
        <f>IFERROR(TRIM(IF(VLOOKUP($D43,'3. 요건기술서 전체'!$B:$L,10,0)&lt;&gt;"",IF(VLOOKUP($D43,'3. 요건기술서 전체'!$B:$L,10,0)="O", "한난O", IF(VLOOKUP($D43,'3. 요건기술서 전체'!$B:$L,10,0)="X", "한난X", "")),"") &amp; " " &amp;IF(VLOOKUP($D43,'3. 요건기술서 전체'!$B:$L,11,0)&lt;&gt;"",IF(VLOOKUP($D43,'3. 요건기술서 전체'!$B:$L,11,0)="O", "외부O", IF(VLOOKUP($D43,'3. 요건기술서 전체'!$B:$L,11,0)="X", "외부X", "")),"")),"")</f>
        <v>한난O 외부X</v>
      </c>
      <c r="H43" s="44" t="s">
        <v>314</v>
      </c>
    </row>
    <row r="44" spans="2:8" x14ac:dyDescent="0.3">
      <c r="B44" s="94" t="s">
        <v>43</v>
      </c>
      <c r="C44" s="95"/>
      <c r="D44" s="85" t="str">
        <f>VLOOKUP($D43,'3. 요건기술서 전체'!$B:$L,5,0)</f>
        <v>기능위치마스터 관리</v>
      </c>
      <c r="E44" s="86"/>
      <c r="F44" s="87"/>
      <c r="H44" s="36" t="s">
        <v>315</v>
      </c>
    </row>
    <row r="45" spans="2:8" x14ac:dyDescent="0.3">
      <c r="B45" s="98" t="s">
        <v>44</v>
      </c>
      <c r="C45" s="43" t="s">
        <v>45</v>
      </c>
      <c r="D45" s="85" t="str">
        <f>VLOOKUP($D43,'3. 요건기술서 전체'!$B:$L,7,0)</f>
        <v>기능위치 관리</v>
      </c>
      <c r="E45" s="86"/>
      <c r="F45" s="87"/>
      <c r="H45" s="36" t="s">
        <v>528</v>
      </c>
    </row>
    <row r="46" spans="2:8" ht="102" x14ac:dyDescent="0.3">
      <c r="B46" s="98"/>
      <c r="C46" s="43" t="s">
        <v>46</v>
      </c>
      <c r="D46" s="85" t="str">
        <f>VLOOKUP($D43,'3. 요건기술서 전체'!$B:$L,8,0)</f>
        <v>○ 기능위치마스터 관리
 - 계층(Hierarchy)형 구조의 기능 위치 관리 및 표시 기능
 - 기능위치 등록/수정 등 이력 관리 기능
 - 각 기능위치별 명칭, 코드, 속성, 설명 등의 관리 기능
 - 각 수준(Level)에 설비마스터 등록(배치)/수정 등 관리 기능
 - 기능위치마스터 중복 등록 방지 및 오류 방지 기능(AI 기술 활용 등 제안사 특화 기능 제시)
 - 설비마스터 등록(배치)/수정/삭제 이력 관리 기능
(CNR-002) - 19개 지사 공통 기능위치 및 개별 기능위치를 포함하는 기능위치 표준화 방안 제시</v>
      </c>
      <c r="E46" s="86"/>
      <c r="F46" s="87"/>
      <c r="H46" s="37" t="s">
        <v>1052</v>
      </c>
    </row>
    <row r="47" spans="2:8" x14ac:dyDescent="0.3">
      <c r="B47" s="90" t="s">
        <v>871</v>
      </c>
      <c r="C47" s="91"/>
      <c r="D47" s="88">
        <f>VLOOKUP(D43, '3. 요건기술서 전체'!$B:$L, 9, 0)</f>
        <v>0</v>
      </c>
      <c r="E47" s="88"/>
      <c r="F47" s="89"/>
      <c r="H47" s="37">
        <v>0</v>
      </c>
    </row>
    <row r="48" spans="2:8" ht="15.75" thickBot="1" x14ac:dyDescent="0.35">
      <c r="B48" s="92" t="s">
        <v>47</v>
      </c>
      <c r="C48" s="93"/>
      <c r="D48" s="99" t="str">
        <f>VLOOKUP($D43,'3. 요건기술서 전체'!$B:$L,2,0)</f>
        <v>CNR-002</v>
      </c>
      <c r="E48" s="100"/>
      <c r="F48" s="101"/>
      <c r="H48" s="37" t="s">
        <v>514</v>
      </c>
    </row>
    <row r="49" spans="2:8" ht="15.75" thickBot="1" x14ac:dyDescent="0.35">
      <c r="H49" s="37"/>
    </row>
    <row r="50" spans="2:8" x14ac:dyDescent="0.3">
      <c r="B50" s="96" t="s">
        <v>41</v>
      </c>
      <c r="C50" s="97"/>
      <c r="D50" s="30" t="s">
        <v>53</v>
      </c>
      <c r="E50" s="31" t="s">
        <v>131</v>
      </c>
      <c r="F50" s="32" t="str">
        <f>VLOOKUP($D51,'3. 요건기술서 전체'!$B:$L,6,0)</f>
        <v>필수</v>
      </c>
      <c r="H50" s="44" t="s">
        <v>689</v>
      </c>
    </row>
    <row r="51" spans="2:8" x14ac:dyDescent="0.3">
      <c r="B51" s="94" t="s">
        <v>42</v>
      </c>
      <c r="C51" s="95"/>
      <c r="D51" s="33" t="str">
        <f>LEFT(D43,3)&amp;"-"&amp;TEXT(VALUE(RIGHT(D43,3))+1,"000")</f>
        <v>SFR-006</v>
      </c>
      <c r="E51" s="34" t="s">
        <v>85</v>
      </c>
      <c r="F51" s="35" t="str">
        <f>IFERROR(TRIM(IF(VLOOKUP($D51,'3. 요건기술서 전체'!$B:$L,10,0)&lt;&gt;"",IF(VLOOKUP($D51,'3. 요건기술서 전체'!$B:$L,10,0)="O", "한난O", IF(VLOOKUP($D51,'3. 요건기술서 전체'!$B:$L,10,0)="X", "한난X", "")),"") &amp; " " &amp;IF(VLOOKUP($D51,'3. 요건기술서 전체'!$B:$L,11,0)&lt;&gt;"",IF(VLOOKUP($D51,'3. 요건기술서 전체'!$B:$L,11,0)="O", "외부O", IF(VLOOKUP($D51,'3. 요건기술서 전체'!$B:$L,11,0)="X", "외부X", "")),"")),"")</f>
        <v>한난O 외부O</v>
      </c>
      <c r="H51" s="36" t="s">
        <v>316</v>
      </c>
    </row>
    <row r="52" spans="2:8" x14ac:dyDescent="0.3">
      <c r="B52" s="94" t="s">
        <v>43</v>
      </c>
      <c r="C52" s="95"/>
      <c r="D52" s="85" t="str">
        <f>VLOOKUP($D51,'3. 요건기술서 전체'!$B:$L,5,0)</f>
        <v>설비마스터 관리</v>
      </c>
      <c r="E52" s="86"/>
      <c r="F52" s="87"/>
      <c r="H52" s="36" t="s">
        <v>15</v>
      </c>
    </row>
    <row r="53" spans="2:8" x14ac:dyDescent="0.3">
      <c r="B53" s="98" t="s">
        <v>44</v>
      </c>
      <c r="C53" s="43" t="s">
        <v>45</v>
      </c>
      <c r="D53" s="85" t="str">
        <f>VLOOKUP($D51,'3. 요건기술서 전체'!$B:$L,7,0)</f>
        <v>설비마스터 및 설비그룹 관리</v>
      </c>
      <c r="E53" s="86"/>
      <c r="F53" s="87"/>
      <c r="H53" s="37" t="s">
        <v>529</v>
      </c>
    </row>
    <row r="54" spans="2:8" ht="242.25" x14ac:dyDescent="0.3">
      <c r="B54" s="98"/>
      <c r="C54" s="43" t="s">
        <v>46</v>
      </c>
      <c r="D54" s="85" t="str">
        <f>VLOOKUP($D51,'3. 요건기술서 전체'!$B:$L,8,0)</f>
        <v xml:space="preserve">○ 설비마스터 관리
 - 설비마스터 등록/수정 기능(기본정보, 기술정보, 자산정보, 상세정보, 속성정보 등)
 - 설비마스터 등록/수정 등 이력 관리 기능
 - 설비마스터 필수 속성정보의 입력 누락/오기입 방지 유효성 검증 기능
 - 설비마스터 중복 등록 방지 및 기능위치 배치 오류 방지 기능(AI 기술 활용 등 제안사 특화 기능 제시)
 - 설비마스터 속성 정보 중 자재교체 일정, 예방점검 일정 등 주요 일정 도래 시, 알람 발생 기능
 - 다수의 연관된 설비마스터로 구성된 설비그룹 관리 기능
 - 설비마스터와 연관된 차단기 및 밸브 정보 관리 기능
○ 기능위치를 활용한 설비마스터 조회
 - 기능위치에서 특정 수준(Level) 선택 시, 해당 수준 및 하위 수준에 속한 설비마스터 목록 조회 및 상세 정보 조회 기능
○ 설비마스터 상세정보 조회
 - 설비번호, 설비명, 태그번호, 기능위치명, 설비종류, 상태, 도면번호 등 모든 설비마스터 관리 속성 조회 제공
 - TM 이력, Red Tag 이력, 작업이력, 고장이력, 자재사용이력, 설비 BOM, 설계기준서 등 설비마스터와 연관된 정보 조회 기능(새창/새탭/팝업/영역구분 등)
 - 설비마스터 변경이력(변경자, 변경일시, 변경사유 등) 조회 기능
 - 설비마스터와 연관된 스마트 도면 및 일반 문서도면, 기술문서 등 조회 기능
(CNR-002) - 설비마스터 분류체계, 코드체계, 관리속성, 식별체계, 표기표준 등을 포함하는 설비마스터 표준화 방안, DB화 방안 제시 및 수행 용역 포함
(CNR-002) - 19개 지사 설비 현장/현황 조사 및 DB화 용역 포함 </v>
      </c>
      <c r="E54" s="86"/>
      <c r="F54" s="87"/>
      <c r="H54" s="37" t="s">
        <v>1039</v>
      </c>
    </row>
    <row r="55" spans="2:8" x14ac:dyDescent="0.3">
      <c r="B55" s="90" t="s">
        <v>871</v>
      </c>
      <c r="C55" s="91"/>
      <c r="D55" s="88">
        <f>VLOOKUP(D51, '3. 요건기술서 전체'!$B:$L, 9, 0)</f>
        <v>0</v>
      </c>
      <c r="E55" s="88"/>
      <c r="F55" s="89"/>
      <c r="H55" s="37">
        <v>0</v>
      </c>
    </row>
    <row r="56" spans="2:8" ht="15.75" thickBot="1" x14ac:dyDescent="0.35">
      <c r="B56" s="92" t="s">
        <v>47</v>
      </c>
      <c r="C56" s="93"/>
      <c r="D56" s="99" t="str">
        <f>VLOOKUP($D51,'3. 요건기술서 전체'!$B:$L,2,0)</f>
        <v>CNR-002</v>
      </c>
      <c r="E56" s="100"/>
      <c r="F56" s="101"/>
      <c r="H56" s="37" t="s">
        <v>514</v>
      </c>
    </row>
    <row r="57" spans="2:8" ht="15.75" thickBot="1" x14ac:dyDescent="0.35"/>
    <row r="58" spans="2:8" x14ac:dyDescent="0.3">
      <c r="B58" s="96" t="s">
        <v>41</v>
      </c>
      <c r="C58" s="97"/>
      <c r="D58" s="30" t="s">
        <v>53</v>
      </c>
      <c r="E58" s="31" t="s">
        <v>131</v>
      </c>
      <c r="F58" s="32" t="str">
        <f>VLOOKUP($D59,'3. 요건기술서 전체'!$B:$L,6,0)</f>
        <v>필수</v>
      </c>
      <c r="H58" s="36" t="s">
        <v>689</v>
      </c>
    </row>
    <row r="59" spans="2:8" x14ac:dyDescent="0.3">
      <c r="B59" s="94" t="s">
        <v>42</v>
      </c>
      <c r="C59" s="95"/>
      <c r="D59" s="33" t="str">
        <f>LEFT(D51,3)&amp;"-"&amp;TEXT(VALUE(RIGHT(D51,3))+1,"000")</f>
        <v>SFR-007</v>
      </c>
      <c r="E59" s="34" t="s">
        <v>85</v>
      </c>
      <c r="F59" s="35" t="str">
        <f>IFERROR(TRIM(IF(VLOOKUP($D59,'3. 요건기술서 전체'!$B:$L,10,0)&lt;&gt;"",IF(VLOOKUP($D59,'3. 요건기술서 전체'!$B:$L,10,0)="O", "한난O", IF(VLOOKUP($D59,'3. 요건기술서 전체'!$B:$L,10,0)="X", "한난X", "")),"") &amp; " " &amp;IF(VLOOKUP($D59,'3. 요건기술서 전체'!$B:$L,11,0)&lt;&gt;"",IF(VLOOKUP($D59,'3. 요건기술서 전체'!$B:$L,11,0)="O", "외부O", IF(VLOOKUP($D59,'3. 요건기술서 전체'!$B:$L,11,0)="X", "외부X", "")),"")),"")</f>
        <v>한난O 외부X</v>
      </c>
      <c r="H59" s="36" t="s">
        <v>317</v>
      </c>
    </row>
    <row r="60" spans="2:8" x14ac:dyDescent="0.3">
      <c r="B60" s="94" t="s">
        <v>43</v>
      </c>
      <c r="C60" s="95"/>
      <c r="D60" s="85" t="str">
        <f>VLOOKUP($D59,'3. 요건기술서 전체'!$B:$L,5,0)</f>
        <v>설비 BOM 관리</v>
      </c>
      <c r="E60" s="86"/>
      <c r="F60" s="87"/>
      <c r="H60" s="37" t="s">
        <v>16</v>
      </c>
    </row>
    <row r="61" spans="2:8" x14ac:dyDescent="0.3">
      <c r="B61" s="98" t="s">
        <v>44</v>
      </c>
      <c r="C61" s="43" t="s">
        <v>45</v>
      </c>
      <c r="D61" s="85" t="str">
        <f>VLOOKUP($D59,'3. 요건기술서 전체'!$B:$L,7,0)</f>
        <v>설비 BOM 관리</v>
      </c>
      <c r="E61" s="86"/>
      <c r="F61" s="87"/>
      <c r="H61" s="37" t="s">
        <v>16</v>
      </c>
    </row>
    <row r="62" spans="2:8" ht="51" x14ac:dyDescent="0.3">
      <c r="B62" s="98"/>
      <c r="C62" s="43" t="s">
        <v>46</v>
      </c>
      <c r="D62" s="85" t="str">
        <f>VLOOKUP($D59,'3. 요건기술서 전체'!$B:$L,8,0)</f>
        <v>○ 설비 BOM 관리
 - 설비를 구성하는 설비 BOM(자재마스터/자재패키지 및 구성 수량) 등록/수정/삭제 기능 및 이력관리 기능
 - 설비 BOM 생성 시, 동일 설비마스터 또는 유사 설비마스터의 설비 BOM 복제 기능
(CNR-002) - O/H(정기점검보수공사) 대상 설비마스터의 설비 BOM 구성, DB화 방안 제시 및 수행 용역 포함</v>
      </c>
      <c r="E62" s="86"/>
      <c r="F62" s="87"/>
      <c r="H62" s="37" t="s">
        <v>1053</v>
      </c>
    </row>
    <row r="63" spans="2:8" x14ac:dyDescent="0.3">
      <c r="B63" s="90" t="s">
        <v>871</v>
      </c>
      <c r="C63" s="91"/>
      <c r="D63" s="88">
        <f>VLOOKUP(D59, '3. 요건기술서 전체'!$B:$L, 9, 0)</f>
        <v>0</v>
      </c>
      <c r="E63" s="88"/>
      <c r="F63" s="89"/>
      <c r="H63" s="37">
        <v>0</v>
      </c>
    </row>
    <row r="64" spans="2:8" ht="15.75" thickBot="1" x14ac:dyDescent="0.35">
      <c r="B64" s="92" t="s">
        <v>47</v>
      </c>
      <c r="C64" s="93"/>
      <c r="D64" s="99" t="str">
        <f>VLOOKUP($D59,'3. 요건기술서 전체'!$B:$L,2,0)</f>
        <v>CNR-002</v>
      </c>
      <c r="E64" s="100"/>
      <c r="F64" s="101"/>
      <c r="H64" s="44" t="s">
        <v>514</v>
      </c>
    </row>
    <row r="65" spans="2:8" ht="15.75" thickBot="1" x14ac:dyDescent="0.35">
      <c r="H65" s="36"/>
    </row>
    <row r="66" spans="2:8" x14ac:dyDescent="0.3">
      <c r="B66" s="96" t="s">
        <v>41</v>
      </c>
      <c r="C66" s="97"/>
      <c r="D66" s="30" t="s">
        <v>53</v>
      </c>
      <c r="E66" s="31" t="s">
        <v>131</v>
      </c>
      <c r="F66" s="32" t="str">
        <f>VLOOKUP($D67,'3. 요건기술서 전체'!$B:$L,6,0)</f>
        <v>필수</v>
      </c>
      <c r="H66" s="36" t="s">
        <v>689</v>
      </c>
    </row>
    <row r="67" spans="2:8" x14ac:dyDescent="0.3">
      <c r="B67" s="94" t="s">
        <v>42</v>
      </c>
      <c r="C67" s="95"/>
      <c r="D67" s="33" t="str">
        <f>LEFT(D59,3)&amp;"-"&amp;TEXT(VALUE(RIGHT(D59,3))+1,"000")</f>
        <v>SFR-008</v>
      </c>
      <c r="E67" s="34" t="s">
        <v>85</v>
      </c>
      <c r="F67" s="35" t="str">
        <f>IFERROR(TRIM(IF(VLOOKUP($D67,'3. 요건기술서 전체'!$B:$L,10,0)&lt;&gt;"",IF(VLOOKUP($D67,'3. 요건기술서 전체'!$B:$L,10,0)="O", "한난O", IF(VLOOKUP($D67,'3. 요건기술서 전체'!$B:$L,10,0)="X", "한난X", "")),"") &amp; " " &amp;IF(VLOOKUP($D67,'3. 요건기술서 전체'!$B:$L,11,0)&lt;&gt;"",IF(VLOOKUP($D67,'3. 요건기술서 전체'!$B:$L,11,0)="O", "외부O", IF(VLOOKUP($D67,'3. 요건기술서 전체'!$B:$L,11,0)="X", "외부X", "")),"")),"")</f>
        <v>한난O 외부X</v>
      </c>
      <c r="H67" s="37" t="s">
        <v>318</v>
      </c>
    </row>
    <row r="68" spans="2:8" x14ac:dyDescent="0.3">
      <c r="B68" s="94" t="s">
        <v>43</v>
      </c>
      <c r="C68" s="95"/>
      <c r="D68" s="85" t="str">
        <f>VLOOKUP($D67,'3. 요건기술서 전체'!$B:$L,5,0)</f>
        <v>스마트 도면 관리 기능(공통)</v>
      </c>
      <c r="E68" s="86"/>
      <c r="F68" s="87"/>
      <c r="H68" s="37" t="s">
        <v>319</v>
      </c>
    </row>
    <row r="69" spans="2:8" x14ac:dyDescent="0.3">
      <c r="B69" s="98" t="s">
        <v>44</v>
      </c>
      <c r="C69" s="43" t="s">
        <v>45</v>
      </c>
      <c r="D69" s="85" t="str">
        <f>VLOOKUP($D67,'3. 요건기술서 전체'!$B:$L,7,0)</f>
        <v>스마트 도면 관리 기능(공통)</v>
      </c>
      <c r="E69" s="86"/>
      <c r="F69" s="87"/>
      <c r="H69" s="37" t="s">
        <v>319</v>
      </c>
    </row>
    <row r="70" spans="2:8" ht="216.75" x14ac:dyDescent="0.3">
      <c r="B70" s="98"/>
      <c r="C70" s="43" t="s">
        <v>46</v>
      </c>
      <c r="D70" s="85" t="str">
        <f>VLOOKUP($D67,'3. 요건기술서 전체'!$B:$L,8,0)</f>
        <v>○ 스마트 도면관리
 - 동일 시스템에서 기능을 제공하거나, 별도 시스템으로 기능 제공 가능
 - 별도 시스템으로 기능 제공 시, 정보 연계 방안 제시 필수
 - 스마트 도면 內, 설비별 실시간 운전 정보 연계 방안 제시
 - 스마트 도면의 접근/조회(View)/편집(Edit)/정보수정 등에 필요한 계정 관리 및 권한 관리 기능 제공
 - 스마트 도면 조회/편집/정보수정 시, 추가 프로그램 및 플러그인 설치없이 웹 브라우저에서 모든 기능 사용 필수
 - 스마트 도면 外, 사용자가 등록한 기타 도면(비전산화 대상 도면) 관리 기능(최신도면제공 및 이력관리)
 - 스마트 도면의 태그를 활용한 설비마스터(설비명, 설비정보, 정비이력  등)  정보 연결, Red Tag 설계 기능
○ 전산화(지능화) 도면 外 건설 관련 도면 등 사용자가 선택한 dwg. pdf 도면에 대한 조회(View) 및 편집(Edit), 마킹 기능 제공 
 - 도면 Mark up 및 편집시 자주 사용하는 아이콘(밸브 닫힘, 열림, 차단기 조작 등)을 제공
○ PC 및 모바일 환경 지원
 - PC 및 모바일(지급형 태블릿)에서 스마트 도면 조회/편집/정보수정 기능 제공
 - PC : Microsoft Edge 브라우저에서 모든 기능 제공
 - 모바일(지급형 태블릿)에서 도면 접근 시, 우리 공사 MDM(Mobile Device Management) 프로그램 구동 필수
 - 모바일 : 기기의 종류 및 해상도에 따라 화면 배치(레이아웃) 등의 유동적 변경 기능
○ 타 플랫폼간 연계방안
 - 스마트 안전관리 플랫폼 정보 연계</v>
      </c>
      <c r="E70" s="86"/>
      <c r="F70" s="87"/>
      <c r="H70" s="37" t="s">
        <v>1054</v>
      </c>
    </row>
    <row r="71" spans="2:8" x14ac:dyDescent="0.3">
      <c r="B71" s="90" t="s">
        <v>871</v>
      </c>
      <c r="C71" s="91"/>
      <c r="D71" s="88">
        <f>VLOOKUP(D67, '3. 요건기술서 전체'!$B:$L, 9, 0)</f>
        <v>0</v>
      </c>
      <c r="E71" s="88"/>
      <c r="F71" s="89"/>
      <c r="H71" s="44">
        <v>0</v>
      </c>
    </row>
    <row r="72" spans="2:8" ht="15.75" thickBot="1" x14ac:dyDescent="0.35">
      <c r="B72" s="92" t="s">
        <v>47</v>
      </c>
      <c r="C72" s="93"/>
      <c r="D72" s="99">
        <f>VLOOKUP($D67,'3. 요건기술서 전체'!$B:$L,2,0)</f>
        <v>0</v>
      </c>
      <c r="E72" s="100"/>
      <c r="F72" s="101"/>
      <c r="H72" s="36">
        <v>0</v>
      </c>
    </row>
    <row r="73" spans="2:8" ht="15.75" thickBot="1" x14ac:dyDescent="0.35">
      <c r="H73" s="36"/>
    </row>
    <row r="74" spans="2:8" x14ac:dyDescent="0.3">
      <c r="B74" s="96" t="s">
        <v>41</v>
      </c>
      <c r="C74" s="97"/>
      <c r="D74" s="30" t="s">
        <v>53</v>
      </c>
      <c r="E74" s="31" t="s">
        <v>131</v>
      </c>
      <c r="F74" s="32" t="str">
        <f>VLOOKUP($D75,'3. 요건기술서 전체'!$B:$L,6,0)</f>
        <v>필수</v>
      </c>
      <c r="H74" s="37" t="s">
        <v>689</v>
      </c>
    </row>
    <row r="75" spans="2:8" x14ac:dyDescent="0.3">
      <c r="B75" s="94" t="s">
        <v>42</v>
      </c>
      <c r="C75" s="95"/>
      <c r="D75" s="33" t="str">
        <f>LEFT(D67,3)&amp;"-"&amp;TEXT(VALUE(RIGHT(D67,3))+1,"000")</f>
        <v>SFR-009</v>
      </c>
      <c r="E75" s="34" t="s">
        <v>85</v>
      </c>
      <c r="F75" s="35" t="str">
        <f>IFERROR(TRIM(IF(VLOOKUP($D75,'3. 요건기술서 전체'!$B:$L,10,0)&lt;&gt;"",IF(VLOOKUP($D75,'3. 요건기술서 전체'!$B:$L,10,0)="O", "한난O", IF(VLOOKUP($D75,'3. 요건기술서 전체'!$B:$L,10,0)="X", "한난X", "")),"") &amp; " " &amp;IF(VLOOKUP($D75,'3. 요건기술서 전체'!$B:$L,11,0)&lt;&gt;"",IF(VLOOKUP($D75,'3. 요건기술서 전체'!$B:$L,11,0)="O", "외부O", IF(VLOOKUP($D75,'3. 요건기술서 전체'!$B:$L,11,0)="X", "외부X", "")),"")),"")</f>
        <v/>
      </c>
      <c r="H75" s="37" t="s">
        <v>320</v>
      </c>
    </row>
    <row r="76" spans="2:8" x14ac:dyDescent="0.3">
      <c r="B76" s="94" t="s">
        <v>43</v>
      </c>
      <c r="C76" s="95"/>
      <c r="D76" s="85" t="str">
        <f>VLOOKUP($D75,'3. 요건기술서 전체'!$B:$L,5,0)</f>
        <v>스마트 도면 전환</v>
      </c>
      <c r="E76" s="86"/>
      <c r="F76" s="87"/>
      <c r="H76" s="37" t="s">
        <v>321</v>
      </c>
    </row>
    <row r="77" spans="2:8" x14ac:dyDescent="0.3">
      <c r="B77" s="98" t="s">
        <v>44</v>
      </c>
      <c r="C77" s="43" t="s">
        <v>45</v>
      </c>
      <c r="D77" s="85" t="str">
        <f>VLOOKUP($D75,'3. 요건기술서 전체'!$B:$L,7,0)</f>
        <v>스마트 도면 전환</v>
      </c>
      <c r="E77" s="86"/>
      <c r="F77" s="87"/>
      <c r="H77" s="37" t="s">
        <v>321</v>
      </c>
    </row>
    <row r="78" spans="2:8" ht="127.5" x14ac:dyDescent="0.3">
      <c r="B78" s="98"/>
      <c r="C78" s="43" t="s">
        <v>46</v>
      </c>
      <c r="D78" s="85" t="str">
        <f>VLOOKUP($D75,'3. 요건기술서 전체'!$B:$L,8,0)</f>
        <v>○ 도면 전산화(지능화)
 - PDF 또는 이미지 형식의 도면(대상 : P&amp;ID 및 SLD)에서 Tag No, 파이프, 펌프, 설비 BOM 등의 주요 정보 추출, 이를 스마트 도면으로 전환
 - 도면 전산화 기술(AI/OCR 등) 제시
 - 파일 형태의 관리가 아닌 DB 형태의 스마트 도면 관리 기능
 - 도면 전산화 중 발생한 오류/오차 등의 수정 기능
 - 향후 추가되는 신규 도면 등록 시, 스마트 도면으로 전환 가능하도록 사용자 맞춤형 기능 제공
○ 도면 전산화에 필요한 용역 비용 및 방법 제시
 - 대상 도면 수 : 5,000 장
○ 공사 현재 관리중인 비전산화 도면에 대한 관리방안 제시(파일 및 수정이력 관리 등)
(CNR-002) - Tag No, 설비 연관 정보, 설비 BOM(자재 리스트 및 수량), 기타 속성 및 단위 정보 등 추출 및 DB화</v>
      </c>
      <c r="E78" s="86"/>
      <c r="F78" s="87"/>
      <c r="H78" s="44" t="s">
        <v>1055</v>
      </c>
    </row>
    <row r="79" spans="2:8" x14ac:dyDescent="0.3">
      <c r="B79" s="90" t="s">
        <v>871</v>
      </c>
      <c r="C79" s="91"/>
      <c r="D79" s="88">
        <f>VLOOKUP(D75, '3. 요건기술서 전체'!$B:$L, 9, 0)</f>
        <v>0</v>
      </c>
      <c r="E79" s="88"/>
      <c r="F79" s="89"/>
      <c r="H79" s="36">
        <v>0</v>
      </c>
    </row>
    <row r="80" spans="2:8" ht="15.75" thickBot="1" x14ac:dyDescent="0.35">
      <c r="B80" s="92" t="s">
        <v>47</v>
      </c>
      <c r="C80" s="93"/>
      <c r="D80" s="99" t="str">
        <f>VLOOKUP($D75,'3. 요건기술서 전체'!$B:$L,2,0)</f>
        <v>CNR-002</v>
      </c>
      <c r="E80" s="100"/>
      <c r="F80" s="101"/>
      <c r="H80" s="36" t="s">
        <v>514</v>
      </c>
    </row>
    <row r="81" spans="2:8" ht="15.75" thickBot="1" x14ac:dyDescent="0.35">
      <c r="H81" s="37"/>
    </row>
    <row r="82" spans="2:8" x14ac:dyDescent="0.3">
      <c r="B82" s="96" t="s">
        <v>41</v>
      </c>
      <c r="C82" s="97"/>
      <c r="D82" s="30" t="s">
        <v>53</v>
      </c>
      <c r="E82" s="31" t="s">
        <v>131</v>
      </c>
      <c r="F82" s="32" t="str">
        <f>VLOOKUP($D83,'3. 요건기술서 전체'!$B:$L,6,0)</f>
        <v>필수</v>
      </c>
      <c r="H82" s="37" t="s">
        <v>689</v>
      </c>
    </row>
    <row r="83" spans="2:8" x14ac:dyDescent="0.3">
      <c r="B83" s="94" t="s">
        <v>42</v>
      </c>
      <c r="C83" s="95"/>
      <c r="D83" s="33" t="str">
        <f>LEFT(D75,3)&amp;"-"&amp;TEXT(VALUE(RIGHT(D75,3))+1,"000")</f>
        <v>SFR-010</v>
      </c>
      <c r="E83" s="34" t="s">
        <v>85</v>
      </c>
      <c r="F83" s="35" t="str">
        <f>IFERROR(TRIM(IF(VLOOKUP($D83,'3. 요건기술서 전체'!$B:$L,10,0)&lt;&gt;"",IF(VLOOKUP($D83,'3. 요건기술서 전체'!$B:$L,10,0)="O", "한난O", IF(VLOOKUP($D83,'3. 요건기술서 전체'!$B:$L,10,0)="X", "한난X", "")),"") &amp; " " &amp;IF(VLOOKUP($D83,'3. 요건기술서 전체'!$B:$L,11,0)&lt;&gt;"",IF(VLOOKUP($D83,'3. 요건기술서 전체'!$B:$L,11,0)="O", "외부O", IF(VLOOKUP($D83,'3. 요건기술서 전체'!$B:$L,11,0)="X", "외부X", "")),"")),"")</f>
        <v>한난O 외부X</v>
      </c>
      <c r="H83" s="37" t="s">
        <v>322</v>
      </c>
    </row>
    <row r="84" spans="2:8" x14ac:dyDescent="0.3">
      <c r="B84" s="94" t="s">
        <v>43</v>
      </c>
      <c r="C84" s="95"/>
      <c r="D84" s="85" t="str">
        <f>VLOOKUP($D83,'3. 요건기술서 전체'!$B:$L,5,0)</f>
        <v>스마트 도면 편집(Edit) 기능</v>
      </c>
      <c r="E84" s="86"/>
      <c r="F84" s="87"/>
      <c r="H84" s="37" t="s">
        <v>323</v>
      </c>
    </row>
    <row r="85" spans="2:8" x14ac:dyDescent="0.3">
      <c r="B85" s="98" t="s">
        <v>44</v>
      </c>
      <c r="C85" s="43" t="s">
        <v>45</v>
      </c>
      <c r="D85" s="85" t="str">
        <f>VLOOKUP($D83,'3. 요건기술서 전체'!$B:$L,7,0)</f>
        <v>스마트 도면 편집(Edit) 기능</v>
      </c>
      <c r="E85" s="86"/>
      <c r="F85" s="87"/>
      <c r="H85" s="44" t="s">
        <v>323</v>
      </c>
    </row>
    <row r="86" spans="2:8" ht="153" x14ac:dyDescent="0.3">
      <c r="B86" s="98"/>
      <c r="C86" s="43" t="s">
        <v>46</v>
      </c>
      <c r="D86" s="85" t="str">
        <f>VLOOKUP($D83,'3. 요건기술서 전체'!$B:$L,8,0)</f>
        <v>○ 도면 편집(Edit) 및 설비마스터 정보 매핑(Mapping)
 - 설비마스터와 연관된 스마트 도면 제공
 - 사용자 권한에 따른 도면 편집 기능 활성화/비활성화
 - 쉽고 직관적인 도면 편집 기능
 - 우리 공사의 도면번호 관리기준 및 Tag 관리 기준, 속성정보 기준 등 준수
 - 도면을 구성하는 모든 구성요소는 기능위치, 분류체계 등 우리 공사 관리 기준을 반영한 계층형 관리 구조 지원
 - 도면을 구성하는 모든 구성요소 간 연관관계 관리 기능
 - 도면 편집 시, 버전관리/승인/편집자 등의 이력정보와 버전 관리 기능 제공
 - 도면 편집 이후, 연관 담당자의 승인 후 반영 기능(도면관리 기준(안) 제시)
 - 도면 편집 시 동시 수정 방지를 위한 '체크인/체크아웃(Check -in/out)' 또는 '편집 잠금(Locking)' 기능을 필수 제공해야 함.
 - 도면 내 설비 객체와 설비마스터 DB 간의 '양방향 동기화(Bi -directional Sync)' 또는 '무결성 검증 리포트' 기능을 제공하여 데이터 불일치를 방지해야 함</v>
      </c>
      <c r="E86" s="86"/>
      <c r="F86" s="87"/>
      <c r="H86" s="36" t="s">
        <v>781</v>
      </c>
    </row>
    <row r="87" spans="2:8" x14ac:dyDescent="0.3">
      <c r="B87" s="90" t="s">
        <v>871</v>
      </c>
      <c r="C87" s="91"/>
      <c r="D87" s="88">
        <f>VLOOKUP(D83, '3. 요건기술서 전체'!$B:$L, 9, 0)</f>
        <v>0</v>
      </c>
      <c r="E87" s="88"/>
      <c r="F87" s="89"/>
      <c r="H87" s="36">
        <v>0</v>
      </c>
    </row>
    <row r="88" spans="2:8" ht="15.75" thickBot="1" x14ac:dyDescent="0.35">
      <c r="B88" s="92" t="s">
        <v>47</v>
      </c>
      <c r="C88" s="93"/>
      <c r="D88" s="99">
        <f>VLOOKUP($D83,'3. 요건기술서 전체'!$B:$L,2,0)</f>
        <v>0</v>
      </c>
      <c r="E88" s="100"/>
      <c r="F88" s="101"/>
      <c r="H88" s="37">
        <v>0</v>
      </c>
    </row>
    <row r="89" spans="2:8" ht="15.75" thickBot="1" x14ac:dyDescent="0.35">
      <c r="H89" s="37"/>
    </row>
    <row r="90" spans="2:8" x14ac:dyDescent="0.3">
      <c r="B90" s="96" t="s">
        <v>41</v>
      </c>
      <c r="C90" s="97"/>
      <c r="D90" s="30" t="s">
        <v>53</v>
      </c>
      <c r="E90" s="31" t="s">
        <v>131</v>
      </c>
      <c r="F90" s="32" t="str">
        <f>VLOOKUP($D91,'3. 요건기술서 전체'!$B:$L,6,0)</f>
        <v>필수</v>
      </c>
      <c r="H90" s="37" t="s">
        <v>689</v>
      </c>
    </row>
    <row r="91" spans="2:8" x14ac:dyDescent="0.3">
      <c r="B91" s="94" t="s">
        <v>42</v>
      </c>
      <c r="C91" s="95"/>
      <c r="D91" s="33" t="str">
        <f>LEFT(D83,3)&amp;"-"&amp;TEXT(VALUE(RIGHT(D83,3))+1,"000")</f>
        <v>SFR-011</v>
      </c>
      <c r="E91" s="34" t="s">
        <v>85</v>
      </c>
      <c r="F91" s="35" t="str">
        <f>IFERROR(TRIM(IF(VLOOKUP($D91,'3. 요건기술서 전체'!$B:$L,10,0)&lt;&gt;"",IF(VLOOKUP($D91,'3. 요건기술서 전체'!$B:$L,10,0)="O", "한난O", IF(VLOOKUP($D91,'3. 요건기술서 전체'!$B:$L,10,0)="X", "한난X", "")),"") &amp; " " &amp;IF(VLOOKUP($D91,'3. 요건기술서 전체'!$B:$L,11,0)&lt;&gt;"",IF(VLOOKUP($D91,'3. 요건기술서 전체'!$B:$L,11,0)="O", "외부O", IF(VLOOKUP($D91,'3. 요건기술서 전체'!$B:$L,11,0)="X", "외부X", "")),"")),"")</f>
        <v>한난O 외부X</v>
      </c>
      <c r="H91" s="37" t="s">
        <v>324</v>
      </c>
    </row>
    <row r="92" spans="2:8" x14ac:dyDescent="0.3">
      <c r="B92" s="94" t="s">
        <v>43</v>
      </c>
      <c r="C92" s="95"/>
      <c r="D92" s="85" t="str">
        <f>VLOOKUP($D91,'3. 요건기술서 전체'!$B:$L,5,0)</f>
        <v>스마트 도면 보기(View) 기능</v>
      </c>
      <c r="E92" s="86"/>
      <c r="F92" s="87"/>
      <c r="H92" s="44" t="s">
        <v>325</v>
      </c>
    </row>
    <row r="93" spans="2:8" x14ac:dyDescent="0.3">
      <c r="B93" s="98" t="s">
        <v>44</v>
      </c>
      <c r="C93" s="43" t="s">
        <v>45</v>
      </c>
      <c r="D93" s="85" t="str">
        <f>VLOOKUP($D91,'3. 요건기술서 전체'!$B:$L,7,0)</f>
        <v>스마트 도면 보기(View) 기능</v>
      </c>
      <c r="E93" s="86"/>
      <c r="F93" s="87"/>
      <c r="H93" s="36" t="s">
        <v>325</v>
      </c>
    </row>
    <row r="94" spans="2:8" ht="165.75" x14ac:dyDescent="0.3">
      <c r="B94" s="98"/>
      <c r="C94" s="43" t="s">
        <v>46</v>
      </c>
      <c r="D94" s="85" t="str">
        <f>VLOOKUP($D91,'3. 요건기술서 전체'!$B:$L,8,0)</f>
        <v>○ 도면 조회(View)
 - 설비마스터와 연관된 도면 접근 기능
 - 사용자 권한에 따른 도면 접근 및 조회
 - 도면 조회 시, 확대(Zoom), 회전(Pan), 강조(Highlight), 선택(Selection) 등의 기능 제공
 - P&amp;ID 및 SLD 의 Tag 및 속성 정보 등의 검색 기능
 - Tag No. 기준으로 기타 도면 및 문서 등의 연계 조회 기능
 - 전산화된 모든 도면은 파일 다운로드 없이 웹 브라우저 상에서 조회
 - 도면 조회 시, 사용자 권한에 따라 편집 기능으로 전환 기능
 - 권한에 따른 담당자 노트(Remark) 생성 기능(노트 추가는 도면 버전 관리에서 제외)
 - 웹 기반 도면 뷰어 도입 시, 벡터(Vector) 방식 렌더링을 지원하여 확대 시에도 깨짐이 없어야 하며, 대용량 도면 로딩 시 타일링(Tiling) 기술 등을 통해 3초 이내 조회 성능을 보장해야 함.
○ 스마트 도면 外, 사용자가 등록한 기타 문서 보기 기능
○ Multi Window 기능 추가 (여러개의 창을 열어서 동시에 도면 확인 가능)</v>
      </c>
      <c r="E94" s="86"/>
      <c r="F94" s="87"/>
      <c r="H94" s="36" t="s">
        <v>782</v>
      </c>
    </row>
    <row r="95" spans="2:8" x14ac:dyDescent="0.3">
      <c r="B95" s="90" t="s">
        <v>871</v>
      </c>
      <c r="C95" s="91"/>
      <c r="D95" s="88">
        <f>VLOOKUP(D91, '3. 요건기술서 전체'!$B:$L, 9, 0)</f>
        <v>0</v>
      </c>
      <c r="E95" s="88"/>
      <c r="F95" s="89"/>
      <c r="H95" s="37">
        <v>0</v>
      </c>
    </row>
    <row r="96" spans="2:8" ht="15.75" thickBot="1" x14ac:dyDescent="0.35">
      <c r="B96" s="92" t="s">
        <v>47</v>
      </c>
      <c r="C96" s="93"/>
      <c r="D96" s="99">
        <f>VLOOKUP($D91,'3. 요건기술서 전체'!$B:$L,2,0)</f>
        <v>0</v>
      </c>
      <c r="E96" s="100"/>
      <c r="F96" s="101"/>
      <c r="H96" s="37">
        <v>0</v>
      </c>
    </row>
    <row r="97" spans="2:8" ht="15.75" thickBot="1" x14ac:dyDescent="0.35">
      <c r="H97" s="37"/>
    </row>
    <row r="98" spans="2:8" x14ac:dyDescent="0.3">
      <c r="B98" s="96" t="s">
        <v>41</v>
      </c>
      <c r="C98" s="97"/>
      <c r="D98" s="30" t="s">
        <v>53</v>
      </c>
      <c r="E98" s="31" t="s">
        <v>131</v>
      </c>
      <c r="F98" s="32" t="str">
        <f>VLOOKUP($D99,'3. 요건기술서 전체'!$B:$L,6,0)</f>
        <v>필수</v>
      </c>
      <c r="H98" s="37" t="s">
        <v>689</v>
      </c>
    </row>
    <row r="99" spans="2:8" x14ac:dyDescent="0.3">
      <c r="B99" s="94" t="s">
        <v>42</v>
      </c>
      <c r="C99" s="95"/>
      <c r="D99" s="33" t="str">
        <f>LEFT(D91,3)&amp;"-"&amp;TEXT(VALUE(RIGHT(D91,3))+1,"000")</f>
        <v>SFR-012</v>
      </c>
      <c r="E99" s="34" t="s">
        <v>85</v>
      </c>
      <c r="F99" s="35" t="str">
        <f>IFERROR(TRIM(IF(VLOOKUP($D99,'3. 요건기술서 전체'!$B:$L,10,0)&lt;&gt;"",IF(VLOOKUP($D99,'3. 요건기술서 전체'!$B:$L,10,0)="O", "한난O", IF(VLOOKUP($D99,'3. 요건기술서 전체'!$B:$L,10,0)="X", "한난X", "")),"") &amp; " " &amp;IF(VLOOKUP($D99,'3. 요건기술서 전체'!$B:$L,11,0)&lt;&gt;"",IF(VLOOKUP($D99,'3. 요건기술서 전체'!$B:$L,11,0)="O", "외부O", IF(VLOOKUP($D99,'3. 요건기술서 전체'!$B:$L,11,0)="X", "외부X", "")),"")),"")</f>
        <v>한난O 외부X</v>
      </c>
      <c r="H99" s="44" t="s">
        <v>326</v>
      </c>
    </row>
    <row r="100" spans="2:8" x14ac:dyDescent="0.3">
      <c r="B100" s="94" t="s">
        <v>43</v>
      </c>
      <c r="C100" s="95"/>
      <c r="D100" s="85" t="str">
        <f>VLOOKUP($D99,'3. 요건기술서 전체'!$B:$L,5,0)</f>
        <v>자재마스터 관리</v>
      </c>
      <c r="E100" s="86"/>
      <c r="F100" s="87"/>
      <c r="H100" s="36" t="s">
        <v>327</v>
      </c>
    </row>
    <row r="101" spans="2:8" x14ac:dyDescent="0.3">
      <c r="B101" s="98" t="s">
        <v>44</v>
      </c>
      <c r="C101" s="43" t="s">
        <v>45</v>
      </c>
      <c r="D101" s="85" t="str">
        <f>VLOOKUP($D99,'3. 요건기술서 전체'!$B:$L,7,0)</f>
        <v>자재마스터 관리</v>
      </c>
      <c r="E101" s="86"/>
      <c r="F101" s="87"/>
      <c r="H101" s="36" t="s">
        <v>327</v>
      </c>
    </row>
    <row r="102" spans="2:8" ht="165.75" x14ac:dyDescent="0.3">
      <c r="B102" s="98"/>
      <c r="C102" s="43" t="s">
        <v>46</v>
      </c>
      <c r="D102" s="85" t="str">
        <f>VLOOKUP($D99,'3. 요건기술서 전체'!$B:$L,8,0)</f>
        <v>○ 자재마스터 관리
 - 자재마스터 관리 대상 : 열원/열수송/열량계
 - 자재마스터 등록/수정/조회 기능(기본정보, 기술정보, 자산정보, 상세정보, 속성정보 등)
 - 자재마스터 등록/수정 등 이력 관리 기능
 - 재고자산이 존재하지 않는 자재마스터의 미사용 처리 기능
 - 자재마스터 정보는 SAP 자재마스터에 실시간 정보 연계
 - SAP 자재마스터의 관리 항목 外, 별도 항목 관리 기능
 - 자재마스터 필수 속성정보의 입력 누락/오기입 방지 유효성 검증 기능
 - 자재마스터 중복 등록 방지 기능(AI 기술 활용 등 제안사 특화 기능 제시)
 - 자재 중복 방지를 위한 AI 기술 적용 시, 단순히 이름만 비교하는 것이 아니라 속성(Spec) 값의 유사도까지 비교하는 알고리즘을 제안해야 함.
 - 다수의 자재마스터와 구성 수량을 관리하는 자재 패키지/세트 기능
 - 자재마스터와 연관된 설비마스터/작업이력/공사이력 등의 조회 기능
(CNR-003) 자재마스터 분류체계, 관리 속성정보, 코드체계, 식별체계, 표기표준, 단위표준 등의 표준화 및 DB화</v>
      </c>
      <c r="E102" s="86"/>
      <c r="F102" s="87"/>
      <c r="H102" s="37" t="s">
        <v>862</v>
      </c>
    </row>
    <row r="103" spans="2:8" x14ac:dyDescent="0.3">
      <c r="B103" s="90" t="s">
        <v>871</v>
      </c>
      <c r="C103" s="91"/>
      <c r="D103" s="88">
        <f>VLOOKUP(D99, '3. 요건기술서 전체'!$B:$L, 9, 0)</f>
        <v>0</v>
      </c>
      <c r="E103" s="88"/>
      <c r="F103" s="89"/>
      <c r="H103" s="37">
        <v>0</v>
      </c>
    </row>
    <row r="104" spans="2:8" ht="15.75" thickBot="1" x14ac:dyDescent="0.35">
      <c r="B104" s="92" t="s">
        <v>47</v>
      </c>
      <c r="C104" s="93"/>
      <c r="D104" s="99" t="str">
        <f>VLOOKUP($D99,'3. 요건기술서 전체'!$B:$L,2,0)</f>
        <v>CNR-003</v>
      </c>
      <c r="E104" s="100"/>
      <c r="F104" s="101"/>
      <c r="H104" s="37" t="s">
        <v>515</v>
      </c>
    </row>
    <row r="105" spans="2:8" ht="15.75" thickBot="1" x14ac:dyDescent="0.35">
      <c r="H105" s="37"/>
    </row>
    <row r="106" spans="2:8" x14ac:dyDescent="0.3">
      <c r="B106" s="96" t="s">
        <v>41</v>
      </c>
      <c r="C106" s="97"/>
      <c r="D106" s="30" t="s">
        <v>53</v>
      </c>
      <c r="E106" s="31" t="s">
        <v>131</v>
      </c>
      <c r="F106" s="32" t="str">
        <f>VLOOKUP($D107,'3. 요건기술서 전체'!$B:$L,6,0)</f>
        <v>필수</v>
      </c>
      <c r="H106" s="44" t="s">
        <v>689</v>
      </c>
    </row>
    <row r="107" spans="2:8" x14ac:dyDescent="0.3">
      <c r="B107" s="94" t="s">
        <v>42</v>
      </c>
      <c r="C107" s="95"/>
      <c r="D107" s="33" t="str">
        <f>LEFT(D99,3)&amp;"-"&amp;TEXT(VALUE(RIGHT(D99,3))+1,"000")</f>
        <v>SFR-013</v>
      </c>
      <c r="E107" s="34" t="s">
        <v>85</v>
      </c>
      <c r="F107" s="35" t="str">
        <f>IFERROR(TRIM(IF(VLOOKUP($D107,'3. 요건기술서 전체'!$B:$L,10,0)&lt;&gt;"",IF(VLOOKUP($D107,'3. 요건기술서 전체'!$B:$L,10,0)="O", "한난O", IF(VLOOKUP($D107,'3. 요건기술서 전체'!$B:$L,10,0)="X", "한난X", "")),"") &amp; " " &amp;IF(VLOOKUP($D107,'3. 요건기술서 전체'!$B:$L,11,0)&lt;&gt;"",IF(VLOOKUP($D107,'3. 요건기술서 전체'!$B:$L,11,0)="O", "외부O", IF(VLOOKUP($D107,'3. 요건기술서 전체'!$B:$L,11,0)="X", "외부X", "")),"")),"")</f>
        <v>한난O 외부O</v>
      </c>
      <c r="H107" s="36" t="s">
        <v>328</v>
      </c>
    </row>
    <row r="108" spans="2:8" x14ac:dyDescent="0.3">
      <c r="B108" s="94" t="s">
        <v>43</v>
      </c>
      <c r="C108" s="95"/>
      <c r="D108" s="85" t="str">
        <f>VLOOKUP($D107,'3. 요건기술서 전체'!$B:$L,5,0)</f>
        <v>자재관리</v>
      </c>
      <c r="E108" s="86"/>
      <c r="F108" s="87"/>
      <c r="H108" s="36" t="s">
        <v>329</v>
      </c>
    </row>
    <row r="109" spans="2:8" x14ac:dyDescent="0.3">
      <c r="B109" s="98" t="s">
        <v>44</v>
      </c>
      <c r="C109" s="43" t="s">
        <v>45</v>
      </c>
      <c r="D109" s="85" t="str">
        <f>VLOOKUP($D107,'3. 요건기술서 전체'!$B:$L,7,0)</f>
        <v>자재관리(공통)</v>
      </c>
      <c r="E109" s="86"/>
      <c r="F109" s="87"/>
      <c r="H109" s="37" t="s">
        <v>530</v>
      </c>
    </row>
    <row r="110" spans="2:8" ht="306" x14ac:dyDescent="0.3">
      <c r="B110" s="98"/>
      <c r="C110" s="43" t="s">
        <v>46</v>
      </c>
      <c r="D110" s="85" t="str">
        <f>VLOOKUP($D107,'3. 요건기술서 전체'!$B:$L,8,0)</f>
        <v>○ 자재관리(공통)
 - 자재·공기구 구매요청/재고/전용/환입/불용 등의 처리 기능
 - 자재관리 기능은 SAP 와 실시간 정보 연계(SAP 관리 영역 外 정보는 연계 제외)
 - 자재관리(회계, 재무)를 위한 통계분석 기능(SAP 연계 필수)
 - 건설공사 등 준공을 위한 자재 정산(부분, 종합) 기능
 - 필요 시 전자계약 및 전자결재 등과의 실시간 정보 연계
 - SAP 자산관리번호(이하, 자산번호)를 활용한 개별자재 관리 기능(1자재 1태그)
 - 개별자재 대상 : 예비품, 저장품, 수리부분품, 비저장품, 보수소모품, 사급자재
 - 지사 -자재마스터 -자산번호 -구매번호 -개별자재 등의 연관 정보를 관리
 - 소속지사 外, 타지사 자재 조회 기능
 - 지사 창고별 자재재고/가용재고/안전재고 수량 조회 기능
 - 사용자 지정 자재별 재주문 필요 시점 설정 관리 및 알림 기능
 - 개별자재를 위한 QR 코드 발행·출력 기능(QR 코드에는 시스템 식별자만 인코딩)
 - 개별자재 QR 코드 발행 대상 : 열원/열량계
 - 검토사항 : 정확한 자재의 수량 및 범위 확정 필요
 - QR 코드 출력 이력 관리 기능
 - QR 코드 프린터(19ea, 19개 지사 창고 비치) 및 QR 코드 출력용지(지사별 자재 10,000개 대상) 납품 포함
(QR 프린터) - Thermal Transfer(열전사) 방식 지원, 해상도 300dpi 이상, 최대 인쇄폭 104mm 이상, 인쇄속도 150mm/s 이상, USB 및 Ethernet 인터페이스 제공, 라벨인쇄를 위한 Gap 및 Black Mark 센서 지원, 표준 프린팅 언어(ZPL/EPL/TSPL 중 1개 이상) 또는 동급의 외부 연동 인터페이스를 제공, 리본 왁스레진/레진 등급 사용 가능, 합성지(PP/PET) 라벨 인쇄 지원)
 - QR 코드는 프린터와 모바일 장비를 OTG(On -The -Go)로 연결하여 출력
※ 공사 보안규정상 건물 내  WIFI 연결이 불가.
 - 모바일 장비에서 재물조사 대상 자재조회 후, QR 코드 인식으로 재물조사 처리 기능(다수·동일 자재의 경우 수량으로 일괄처리)
 - 모바일 앱에서 QR 코드 인식 시, 자재 상세정보 제공 기능
(CNR-003) - 개별자재에 QR 코드 출력 및 부착 용역 포함(부착 불가 시, 고리형 부착 등의 방법 제시)
(CNR-003) - 재고자재 실물 현장/현황 조사 및 DB화 용역 포함</v>
      </c>
      <c r="E110" s="86"/>
      <c r="F110" s="87"/>
      <c r="H110" s="37" t="s">
        <v>863</v>
      </c>
    </row>
    <row r="111" spans="2:8" x14ac:dyDescent="0.3">
      <c r="B111" s="90" t="s">
        <v>871</v>
      </c>
      <c r="C111" s="91"/>
      <c r="D111" s="88">
        <f>VLOOKUP(D107, '3. 요건기술서 전체'!$B:$L, 9, 0)</f>
        <v>0</v>
      </c>
      <c r="E111" s="88"/>
      <c r="F111" s="89"/>
      <c r="H111" s="37">
        <v>0</v>
      </c>
    </row>
    <row r="112" spans="2:8" ht="15.75" thickBot="1" x14ac:dyDescent="0.35">
      <c r="B112" s="92" t="s">
        <v>47</v>
      </c>
      <c r="C112" s="93"/>
      <c r="D112" s="99" t="str">
        <f>VLOOKUP($D107,'3. 요건기술서 전체'!$B:$L,2,0)</f>
        <v>CNR-003</v>
      </c>
      <c r="E112" s="100"/>
      <c r="F112" s="101"/>
      <c r="H112" s="37" t="s">
        <v>515</v>
      </c>
    </row>
    <row r="113" spans="2:8" ht="15.75" thickBot="1" x14ac:dyDescent="0.35"/>
    <row r="114" spans="2:8" x14ac:dyDescent="0.3">
      <c r="B114" s="96" t="s">
        <v>41</v>
      </c>
      <c r="C114" s="97"/>
      <c r="D114" s="30" t="s">
        <v>53</v>
      </c>
      <c r="E114" s="31" t="s">
        <v>131</v>
      </c>
      <c r="F114" s="32" t="str">
        <f>VLOOKUP($D115,'3. 요건기술서 전체'!$B:$L,6,0)</f>
        <v>필수</v>
      </c>
      <c r="H114" s="36" t="s">
        <v>689</v>
      </c>
    </row>
    <row r="115" spans="2:8" x14ac:dyDescent="0.3">
      <c r="B115" s="94" t="s">
        <v>42</v>
      </c>
      <c r="C115" s="95"/>
      <c r="D115" s="33" t="str">
        <f>LEFT(D107,3)&amp;"-"&amp;TEXT(VALUE(RIGHT(D107,3))+1,"000")</f>
        <v>SFR-014</v>
      </c>
      <c r="E115" s="34" t="s">
        <v>85</v>
      </c>
      <c r="F115" s="35" t="str">
        <f>IFERROR(TRIM(IF(VLOOKUP($D115,'3. 요건기술서 전체'!$B:$L,10,0)&lt;&gt;"",IF(VLOOKUP($D115,'3. 요건기술서 전체'!$B:$L,10,0)="O", "한난O", IF(VLOOKUP($D115,'3. 요건기술서 전체'!$B:$L,10,0)="X", "한난X", "")),"") &amp; " " &amp;IF(VLOOKUP($D115,'3. 요건기술서 전체'!$B:$L,11,0)&lt;&gt;"",IF(VLOOKUP($D115,'3. 요건기술서 전체'!$B:$L,11,0)="O", "외부O", IF(VLOOKUP($D115,'3. 요건기술서 전체'!$B:$L,11,0)="X", "외부X", "")),"")),"")</f>
        <v>한난O 외부O</v>
      </c>
      <c r="H115" s="36" t="s">
        <v>330</v>
      </c>
    </row>
    <row r="116" spans="2:8" x14ac:dyDescent="0.3">
      <c r="B116" s="94" t="s">
        <v>43</v>
      </c>
      <c r="C116" s="95"/>
      <c r="D116" s="85" t="str">
        <f>VLOOKUP($D115,'3. 요건기술서 전체'!$B:$L,5,0)</f>
        <v>자재 입·출고관리</v>
      </c>
      <c r="E116" s="86"/>
      <c r="F116" s="87"/>
      <c r="H116" s="37" t="s">
        <v>331</v>
      </c>
    </row>
    <row r="117" spans="2:8" x14ac:dyDescent="0.3">
      <c r="B117" s="98" t="s">
        <v>44</v>
      </c>
      <c r="C117" s="43" t="s">
        <v>45</v>
      </c>
      <c r="D117" s="85" t="str">
        <f>VLOOKUP($D115,'3. 요건기술서 전체'!$B:$L,7,0)</f>
        <v>자재 창고관리(공통)</v>
      </c>
      <c r="E117" s="86"/>
      <c r="F117" s="87"/>
      <c r="H117" s="37" t="s">
        <v>531</v>
      </c>
    </row>
    <row r="118" spans="2:8" ht="89.25" x14ac:dyDescent="0.3">
      <c r="B118" s="98"/>
      <c r="C118" s="43" t="s">
        <v>46</v>
      </c>
      <c r="D118" s="85" t="str">
        <f>VLOOKUP($D115,'3. 요건기술서 전체'!$B:$L,8,0)</f>
        <v>○ 자재 입·출고(공통)
 - 자재 검수/입고/출고예약/출고 관리 기능(모바일 장비 및 자재 QR 코드 활용 지원, SAP 실시간 연계)
 - 다수의 자재 입·출고 시, 일괄처리 기능
 - 자재 입·출고 내역 수정 기능(재고 수량 원상복구)
 - 입출고 내역 수정(취소)은 '결재 승인'을 통해서만 가능하도록 하고, 수정 사유와 수정 전/후 데이터를 감사 로그(Audit Log)로 영구 보관해야 함.
 - 창고 및 보관위치 관리 기능
(CNR-003) - 창고 및 보관위치 QR 코드 발행 및 부착 용역 포함</v>
      </c>
      <c r="E118" s="86"/>
      <c r="F118" s="87"/>
      <c r="H118" s="37" t="s">
        <v>864</v>
      </c>
    </row>
    <row r="119" spans="2:8" x14ac:dyDescent="0.3">
      <c r="B119" s="90" t="s">
        <v>871</v>
      </c>
      <c r="C119" s="91"/>
      <c r="D119" s="88">
        <f>VLOOKUP(D115, '3. 요건기술서 전체'!$B:$L, 9, 0)</f>
        <v>0</v>
      </c>
      <c r="E119" s="88"/>
      <c r="F119" s="89"/>
      <c r="H119" s="37">
        <v>0</v>
      </c>
    </row>
    <row r="120" spans="2:8" ht="15.75" thickBot="1" x14ac:dyDescent="0.35">
      <c r="B120" s="92" t="s">
        <v>47</v>
      </c>
      <c r="C120" s="93"/>
      <c r="D120" s="99" t="str">
        <f>VLOOKUP($D115,'3. 요건기술서 전체'!$B:$L,2,0)</f>
        <v>CNR-003</v>
      </c>
      <c r="E120" s="100"/>
      <c r="F120" s="101"/>
      <c r="H120" s="44" t="s">
        <v>515</v>
      </c>
    </row>
    <row r="121" spans="2:8" ht="15.75" thickBot="1" x14ac:dyDescent="0.35">
      <c r="H121" s="36"/>
    </row>
    <row r="122" spans="2:8" x14ac:dyDescent="0.3">
      <c r="B122" s="96" t="s">
        <v>41</v>
      </c>
      <c r="C122" s="97"/>
      <c r="D122" s="30" t="s">
        <v>53</v>
      </c>
      <c r="E122" s="31" t="s">
        <v>131</v>
      </c>
      <c r="F122" s="32" t="str">
        <f>VLOOKUP($D123,'3. 요건기술서 전체'!$B:$L,6,0)</f>
        <v>필수</v>
      </c>
      <c r="H122" s="36" t="s">
        <v>689</v>
      </c>
    </row>
    <row r="123" spans="2:8" x14ac:dyDescent="0.3">
      <c r="B123" s="94" t="s">
        <v>42</v>
      </c>
      <c r="C123" s="95"/>
      <c r="D123" s="33" t="str">
        <f>LEFT(D115,3)&amp;"-"&amp;TEXT(VALUE(RIGHT(D115,3))+1,"000")</f>
        <v>SFR-015</v>
      </c>
      <c r="E123" s="34" t="s">
        <v>85</v>
      </c>
      <c r="F123" s="35" t="str">
        <f>IFERROR(TRIM(IF(VLOOKUP($D123,'3. 요건기술서 전체'!$B:$L,10,0)&lt;&gt;"",IF(VLOOKUP($D123,'3. 요건기술서 전체'!$B:$L,10,0)="O", "한난O", IF(VLOOKUP($D123,'3. 요건기술서 전체'!$B:$L,10,0)="X", "한난X", "")),"") &amp; " " &amp;IF(VLOOKUP($D123,'3. 요건기술서 전체'!$B:$L,11,0)&lt;&gt;"",IF(VLOOKUP($D123,'3. 요건기술서 전체'!$B:$L,11,0)="O", "외부O", IF(VLOOKUP($D123,'3. 요건기술서 전체'!$B:$L,11,0)="X", "외부X", "")),"")),"")</f>
        <v>한난O 외부X</v>
      </c>
      <c r="H123" s="37" t="s">
        <v>332</v>
      </c>
    </row>
    <row r="124" spans="2:8" x14ac:dyDescent="0.3">
      <c r="B124" s="94" t="s">
        <v>43</v>
      </c>
      <c r="C124" s="95"/>
      <c r="D124" s="85" t="str">
        <f>VLOOKUP($D123,'3. 요건기술서 전체'!$B:$L,5,0)</f>
        <v>열원 자재관리</v>
      </c>
      <c r="E124" s="86"/>
      <c r="F124" s="87"/>
      <c r="H124" s="37" t="s">
        <v>333</v>
      </c>
    </row>
    <row r="125" spans="2:8" x14ac:dyDescent="0.3">
      <c r="B125" s="98" t="s">
        <v>44</v>
      </c>
      <c r="C125" s="43" t="s">
        <v>45</v>
      </c>
      <c r="D125" s="85" t="str">
        <f>VLOOKUP($D123,'3. 요건기술서 전체'!$B:$L,7,0)</f>
        <v>열원 자재관리</v>
      </c>
      <c r="E125" s="86"/>
      <c r="F125" s="87"/>
      <c r="H125" s="37" t="s">
        <v>333</v>
      </c>
    </row>
    <row r="126" spans="2:8" ht="242.25" x14ac:dyDescent="0.3">
      <c r="B126" s="98"/>
      <c r="C126" s="43" t="s">
        <v>46</v>
      </c>
      <c r="D126" s="85" t="str">
        <f>VLOOKUP($D123,'3. 요건기술서 전체'!$B:$L,8,0)</f>
        <v>○ 자재관리(열원)
 - 자재마스터 기본 속성에서 사용하는 교체주기 속성 外, 자재별 사용자 지정 교체주기/점검주기 관리 및 주기 도래 시, 알림 기능
 - 자재마스터별 정수관리/자재재고 등 관리 기능
○ 자재관리(열원 - 고온부품)
 - 고온부품별 장착/탈착/재생/비용/EOH현황 등의 관리 및 이력관리 기능
 - 고온부품 Set 구성 및 재고관리 기능
 - 고온부품별 EOH 계산 기준(기동/정지 횟수별 가중치 등) 관리 기능
 -EOH 계산 로직은 소스 코드가 아닌 '수식 관리 엔진(Rule Engine)' 형태로 구현하여, 현업 담당자가 가중치나 계산식을 직접 설정/변경할 수 있도록 유연성을 확보해야 함.
 - EOH 기반 잔여 수명 예측 및 알림 기능
○ 자재관리(열원 - 공기구)
 - 공기구 대여/반납/반납지연/검교정/불용처리/전용 등의 관리 및 이력관리 기능
 - 검교정 필요 공기구의 교정주기/교정일자/계획/결과/차기예정일 등 관리 기능
 - 공기구 중 특수 공기구(Special Tool) 관리 기능
○ 자재관리(열원 - 수출입통관관리)
 - 고온부품 등 수출입통관에 필요한 회계처리 지원(SAP 수입통관 연계 업무 : 15개, SAP 수출통관 연계 업무 : 9개)
 - 관세청 UNI -PASS 와 연계하여 통관진행상태 정보 확인 기능
 - UNI -PASS 연동 장애 시 업무 마비를 막기 위해, 통관 정보를 엑셀 업로드나 수기로 등록할 수 있는 백업(Backup) 프로세스를 반드시 구현해야 함.</v>
      </c>
      <c r="E126" s="86"/>
      <c r="F126" s="87"/>
      <c r="H126" s="37" t="s">
        <v>783</v>
      </c>
    </row>
    <row r="127" spans="2:8" x14ac:dyDescent="0.3">
      <c r="B127" s="90" t="s">
        <v>871</v>
      </c>
      <c r="C127" s="91"/>
      <c r="D127" s="88">
        <f>VLOOKUP(D123, '3. 요건기술서 전체'!$B:$L, 9, 0)</f>
        <v>0</v>
      </c>
      <c r="E127" s="88"/>
      <c r="F127" s="89"/>
      <c r="H127" s="44">
        <v>0</v>
      </c>
    </row>
    <row r="128" spans="2:8" ht="15.75" thickBot="1" x14ac:dyDescent="0.35">
      <c r="B128" s="92" t="s">
        <v>47</v>
      </c>
      <c r="C128" s="93"/>
      <c r="D128" s="99">
        <f>VLOOKUP($D123,'3. 요건기술서 전체'!$B:$L,2,0)</f>
        <v>0</v>
      </c>
      <c r="E128" s="100"/>
      <c r="F128" s="101"/>
      <c r="H128" s="36">
        <v>0</v>
      </c>
    </row>
    <row r="129" spans="2:8" ht="15.75" thickBot="1" x14ac:dyDescent="0.35">
      <c r="H129" s="36"/>
    </row>
    <row r="130" spans="2:8" x14ac:dyDescent="0.3">
      <c r="B130" s="96" t="s">
        <v>41</v>
      </c>
      <c r="C130" s="97"/>
      <c r="D130" s="30" t="s">
        <v>53</v>
      </c>
      <c r="E130" s="31" t="s">
        <v>131</v>
      </c>
      <c r="F130" s="32" t="str">
        <f>VLOOKUP($D131,'3. 요건기술서 전체'!$B:$L,6,0)</f>
        <v>필수</v>
      </c>
      <c r="H130" s="37" t="s">
        <v>689</v>
      </c>
    </row>
    <row r="131" spans="2:8" x14ac:dyDescent="0.3">
      <c r="B131" s="94" t="s">
        <v>42</v>
      </c>
      <c r="C131" s="95"/>
      <c r="D131" s="33" t="str">
        <f>LEFT(D123,3)&amp;"-"&amp;TEXT(VALUE(RIGHT(D123,3))+1,"000")</f>
        <v>SFR-016</v>
      </c>
      <c r="E131" s="34" t="s">
        <v>85</v>
      </c>
      <c r="F131" s="35" t="str">
        <f>IFERROR(TRIM(IF(VLOOKUP($D131,'3. 요건기술서 전체'!$B:$L,10,0)&lt;&gt;"",IF(VLOOKUP($D131,'3. 요건기술서 전체'!$B:$L,10,0)="O", "한난O", IF(VLOOKUP($D131,'3. 요건기술서 전체'!$B:$L,10,0)="X", "한난X", "")),"") &amp; " " &amp;IF(VLOOKUP($D131,'3. 요건기술서 전체'!$B:$L,11,0)&lt;&gt;"",IF(VLOOKUP($D131,'3. 요건기술서 전체'!$B:$L,11,0)="O", "외부O", IF(VLOOKUP($D131,'3. 요건기술서 전체'!$B:$L,11,0)="X", "외부X", "")),"")),"")</f>
        <v>한난O 외부O</v>
      </c>
      <c r="H131" s="37" t="s">
        <v>334</v>
      </c>
    </row>
    <row r="132" spans="2:8" x14ac:dyDescent="0.3">
      <c r="B132" s="94" t="s">
        <v>43</v>
      </c>
      <c r="C132" s="95"/>
      <c r="D132" s="85" t="str">
        <f>VLOOKUP($D131,'3. 요건기술서 전체'!$B:$L,5,0)</f>
        <v>열수송 자재관리</v>
      </c>
      <c r="E132" s="86"/>
      <c r="F132" s="87"/>
      <c r="H132" s="37" t="s">
        <v>335</v>
      </c>
    </row>
    <row r="133" spans="2:8" x14ac:dyDescent="0.3">
      <c r="B133" s="98" t="s">
        <v>44</v>
      </c>
      <c r="C133" s="43" t="s">
        <v>45</v>
      </c>
      <c r="D133" s="85" t="str">
        <f>VLOOKUP($D131,'3. 요건기술서 전체'!$B:$L,7,0)</f>
        <v>열수송 자재관리</v>
      </c>
      <c r="E133" s="86"/>
      <c r="F133" s="87"/>
      <c r="H133" s="37" t="s">
        <v>335</v>
      </c>
    </row>
    <row r="134" spans="2:8" ht="102" x14ac:dyDescent="0.3">
      <c r="B134" s="98"/>
      <c r="C134" s="43" t="s">
        <v>46</v>
      </c>
      <c r="D134" s="85" t="str">
        <f>VLOOKUP($D131,'3. 요건기술서 전체'!$B:$L,8,0)</f>
        <v>○ 자재관리(열수송)
 - SAP 에서 관리하는 배관자재의 미터(M)단위 합계 관리 外, 개수(EA) 단위 개별 수량 관리 기능(1자재 1태그)
 - 연도별, 회차별, 지사별 열수송자재 정기발주 및 납품지시 관리 기능
 - 임시 자산 등록 후, 일괄 자산 취득 처리 기능
○ 자재관리(열수송 - 긴급자재보관소)
 - 우리 공사 및 긴급자재 협약사업자/협력사의 긴급자재보관소 자재조회 및 신청 관리 기능
 - 긴급자재 요청에 대한 긴급자재보관소 입·출고/전용/환입/불용 처리 등 우리 공사 처리 업무(전자결재/전자계약/SAP/한난맵 등) 연계 기능
 - 긴급자재 협약사를 위한 '외부망 접근환경' 구축 및 내부망 시스템과의 아키텍처를 명시해야 함</v>
      </c>
      <c r="E134" s="86"/>
      <c r="F134" s="87"/>
      <c r="H134" s="44" t="s">
        <v>1056</v>
      </c>
    </row>
    <row r="135" spans="2:8" x14ac:dyDescent="0.3">
      <c r="B135" s="90" t="s">
        <v>871</v>
      </c>
      <c r="C135" s="91"/>
      <c r="D135" s="88">
        <f>VLOOKUP(D131, '3. 요건기술서 전체'!$B:$L, 9, 0)</f>
        <v>0</v>
      </c>
      <c r="E135" s="88"/>
      <c r="F135" s="89"/>
      <c r="H135" s="36">
        <v>0</v>
      </c>
    </row>
    <row r="136" spans="2:8" ht="15.75" thickBot="1" x14ac:dyDescent="0.35">
      <c r="B136" s="92" t="s">
        <v>47</v>
      </c>
      <c r="C136" s="93"/>
      <c r="D136" s="99">
        <f>VLOOKUP($D131,'3. 요건기술서 전체'!$B:$L,2,0)</f>
        <v>0</v>
      </c>
      <c r="E136" s="100"/>
      <c r="F136" s="101"/>
      <c r="H136" s="36">
        <v>0</v>
      </c>
    </row>
    <row r="137" spans="2:8" ht="15.75" thickBot="1" x14ac:dyDescent="0.35">
      <c r="H137" s="37"/>
    </row>
    <row r="138" spans="2:8" x14ac:dyDescent="0.3">
      <c r="B138" s="96" t="s">
        <v>41</v>
      </c>
      <c r="C138" s="97"/>
      <c r="D138" s="30" t="s">
        <v>53</v>
      </c>
      <c r="E138" s="31" t="s">
        <v>131</v>
      </c>
      <c r="F138" s="32" t="str">
        <f>VLOOKUP($D139,'3. 요건기술서 전체'!$B:$L,6,0)</f>
        <v>필수</v>
      </c>
      <c r="H138" s="37" t="s">
        <v>689</v>
      </c>
    </row>
    <row r="139" spans="2:8" x14ac:dyDescent="0.3">
      <c r="B139" s="94" t="s">
        <v>42</v>
      </c>
      <c r="C139" s="95"/>
      <c r="D139" s="33" t="str">
        <f>LEFT(D131,3)&amp;"-"&amp;TEXT(VALUE(RIGHT(D131,3))+1,"000")</f>
        <v>SFR-017</v>
      </c>
      <c r="E139" s="34" t="s">
        <v>85</v>
      </c>
      <c r="F139" s="35" t="str">
        <f>IFERROR(TRIM(IF(VLOOKUP($D139,'3. 요건기술서 전체'!$B:$L,10,0)&lt;&gt;"",IF(VLOOKUP($D139,'3. 요건기술서 전체'!$B:$L,10,0)="O", "한난O", IF(VLOOKUP($D139,'3. 요건기술서 전체'!$B:$L,10,0)="X", "한난X", "")),"") &amp; " " &amp;IF(VLOOKUP($D139,'3. 요건기술서 전체'!$B:$L,11,0)&lt;&gt;"",IF(VLOOKUP($D139,'3. 요건기술서 전체'!$B:$L,11,0)="O", "외부O", IF(VLOOKUP($D139,'3. 요건기술서 전체'!$B:$L,11,0)="X", "외부X", "")),"")),"")</f>
        <v>한난O 외부O</v>
      </c>
      <c r="H139" s="37" t="s">
        <v>336</v>
      </c>
    </row>
    <row r="140" spans="2:8" x14ac:dyDescent="0.3">
      <c r="B140" s="94" t="s">
        <v>43</v>
      </c>
      <c r="C140" s="95"/>
      <c r="D140" s="85" t="str">
        <f>VLOOKUP($D139,'3. 요건기술서 전체'!$B:$L,5,0)</f>
        <v>열량계 자재관리</v>
      </c>
      <c r="E140" s="86"/>
      <c r="F140" s="87"/>
      <c r="H140" s="37" t="s">
        <v>337</v>
      </c>
    </row>
    <row r="141" spans="2:8" x14ac:dyDescent="0.3">
      <c r="B141" s="98" t="s">
        <v>44</v>
      </c>
      <c r="C141" s="43" t="s">
        <v>45</v>
      </c>
      <c r="D141" s="85" t="str">
        <f>VLOOKUP($D139,'3. 요건기술서 전체'!$B:$L,7,0)</f>
        <v>열량계 자재관리</v>
      </c>
      <c r="E141" s="86"/>
      <c r="F141" s="87"/>
      <c r="H141" s="44" t="s">
        <v>337</v>
      </c>
    </row>
    <row r="142" spans="2:8" ht="102" x14ac:dyDescent="0.3">
      <c r="B142" s="98"/>
      <c r="C142" s="43" t="s">
        <v>46</v>
      </c>
      <c r="D142" s="85" t="str">
        <f>VLOOKUP($D139,'3. 요건기술서 전체'!$B:$L,8,0)</f>
        <v>○ 자재관리(열량계)
 - 열량계 규격(유량부/연산부/냉수/중온수), 상태(신품/재제조) 등의 열량계 특성을 반영한 속성정보 관리 기능
 - 열량계 검정만료일의 잔여유효기간 알림 기능
 - 회차별 신규구매 및 재제조 수량에 대한 신청/조회/확정 기능
 - 열량계 구매/검수/입·출고 등의 업무 처리 시, 전자결재/전자계약/SAP 등 실시간 정보 연계 기능
○ '공통 - 정보 조회 기능' 요구사항의 조회 기능 외, 열량계 속성을 반영한 조회
 - 설치/가용재고/출고대기/출고/불용대기/검정만료대상/예비율 등의 상세 조회 조건 설정 기능
 - 건물명/건물번호/기계실번호/설치번호/사용자정보 등 열량계 기물정보와 종류별/연도별/고장유형 등의 이력 조회 기능</v>
      </c>
      <c r="E142" s="86"/>
      <c r="F142" s="87"/>
      <c r="H142" s="36" t="s">
        <v>784</v>
      </c>
    </row>
    <row r="143" spans="2:8" x14ac:dyDescent="0.3">
      <c r="B143" s="90" t="s">
        <v>871</v>
      </c>
      <c r="C143" s="91"/>
      <c r="D143" s="88">
        <f>VLOOKUP(D139, '3. 요건기술서 전체'!$B:$L, 9, 0)</f>
        <v>0</v>
      </c>
      <c r="E143" s="88"/>
      <c r="F143" s="89"/>
      <c r="H143" s="36">
        <v>0</v>
      </c>
    </row>
    <row r="144" spans="2:8" ht="15.75" thickBot="1" x14ac:dyDescent="0.35">
      <c r="B144" s="92" t="s">
        <v>47</v>
      </c>
      <c r="C144" s="93"/>
      <c r="D144" s="99" t="str">
        <f>VLOOKUP($D139,'3. 요건기술서 전체'!$B:$L,2,0)</f>
        <v>SFR-003</v>
      </c>
      <c r="E144" s="100"/>
      <c r="F144" s="101"/>
      <c r="H144" s="37" t="s">
        <v>311</v>
      </c>
    </row>
    <row r="145" spans="2:8" ht="15.75" thickBot="1" x14ac:dyDescent="0.35">
      <c r="H145" s="37"/>
    </row>
    <row r="146" spans="2:8" x14ac:dyDescent="0.3">
      <c r="B146" s="96" t="s">
        <v>41</v>
      </c>
      <c r="C146" s="97"/>
      <c r="D146" s="30" t="s">
        <v>53</v>
      </c>
      <c r="E146" s="31" t="s">
        <v>131</v>
      </c>
      <c r="F146" s="32" t="str">
        <f>VLOOKUP($D147,'3. 요건기술서 전체'!$B:$L,6,0)</f>
        <v>필수</v>
      </c>
      <c r="H146" s="37" t="s">
        <v>689</v>
      </c>
    </row>
    <row r="147" spans="2:8" x14ac:dyDescent="0.3">
      <c r="B147" s="94" t="s">
        <v>42</v>
      </c>
      <c r="C147" s="95"/>
      <c r="D147" s="33" t="str">
        <f>LEFT(D139,3)&amp;"-"&amp;TEXT(VALUE(RIGHT(D139,3))+1,"000")</f>
        <v>SFR-018</v>
      </c>
      <c r="E147" s="34" t="s">
        <v>85</v>
      </c>
      <c r="F147" s="35" t="str">
        <f>IFERROR(TRIM(IF(VLOOKUP($D147,'3. 요건기술서 전체'!$B:$L,10,0)&lt;&gt;"",IF(VLOOKUP($D147,'3. 요건기술서 전체'!$B:$L,10,0)="O", "한난O", IF(VLOOKUP($D147,'3. 요건기술서 전체'!$B:$L,10,0)="X", "한난X", "")),"") &amp; " " &amp;IF(VLOOKUP($D147,'3. 요건기술서 전체'!$B:$L,11,0)&lt;&gt;"",IF(VLOOKUP($D147,'3. 요건기술서 전체'!$B:$L,11,0)="O", "외부O", IF(VLOOKUP($D147,'3. 요건기술서 전체'!$B:$L,11,0)="X", "외부X", "")),"")),"")</f>
        <v>한난O 외부X</v>
      </c>
      <c r="H147" s="37" t="s">
        <v>338</v>
      </c>
    </row>
    <row r="148" spans="2:8" x14ac:dyDescent="0.3">
      <c r="B148" s="94" t="s">
        <v>43</v>
      </c>
      <c r="C148" s="95"/>
      <c r="D148" s="85" t="str">
        <f>VLOOKUP($D147,'3. 요건기술서 전체'!$B:$L,5,0)</f>
        <v>작업오더 조회 및 생성</v>
      </c>
      <c r="E148" s="86"/>
      <c r="F148" s="87"/>
      <c r="H148" s="44" t="s">
        <v>339</v>
      </c>
    </row>
    <row r="149" spans="2:8" x14ac:dyDescent="0.3">
      <c r="B149" s="98" t="s">
        <v>44</v>
      </c>
      <c r="C149" s="43" t="s">
        <v>45</v>
      </c>
      <c r="D149" s="85" t="str">
        <f>VLOOKUP($D147,'3. 요건기술서 전체'!$B:$L,7,0)</f>
        <v>작업관리</v>
      </c>
      <c r="E149" s="86"/>
      <c r="F149" s="87"/>
      <c r="H149" s="36" t="s">
        <v>10</v>
      </c>
    </row>
    <row r="150" spans="2:8" ht="255" x14ac:dyDescent="0.3">
      <c r="B150" s="98"/>
      <c r="C150" s="43" t="s">
        <v>46</v>
      </c>
      <c r="D150" s="85" t="str">
        <f>VLOOKUP($D147,'3. 요건기술서 전체'!$B:$L,8,0)</f>
        <v>○ 작업오더 관리
 - 작업오더 기본정보 및 상세정보(자재, 공량, 경비, Red Tag 등) 관리 기능
 - TM/고장속보/예방점검/예방정비 등의 주요 관리 정보와 연계 기능
 - 작업오더별 승인/반려 등의 처리/이력 관리 기능
 - 작업오더 등록 시, TM 또는 고장속보, 계획예방정비 등 연계 기능
 - 작업오더로 등록되지 않은 TM 및 고장속보 등의 알림 기능
 - 작업오더의 공량/자재/경비 등의 설계 관리 및 설계금액 자동 산출 기능
 - 자재 설계 시, 필요 자재(설비 BOM 정보 활용 또는 사용자 입력)의 재고 수량 및 출고 가능 정보 제공
 - 자재의 가용수량 부족 시, 작업오더 임시저장 기능 및 자재 가용 시, 알림 제공
 - 설비마스터에 기 등록된 Red Tag 정보 자동 연계 기능(수정 가능)
 - 설비마스터에 Red Tag 미등록 시, Red Tag 설계 이력 추천/적용 기능(AI 기술 활용 등 제안사 특화 기능 제시)
 - 필수항목누락/수량/단가입력오류/중복품목방지 등 사용자 입력 오류 검증 및 안내 기능
 - 작업오더 신규 생성 시, 설계 기준서 및 작업 설계이력 조회/적용 기능
 - 설비별 설계기준서 및 작업오더 설계이력 추천/적용 기능(AI 기술 활용 등 제안사 특화 기능 제시)
 - 작업종료 후, 내용/결과/실적/사진업로드/기기점검결과보고서/관련자료업로드 등의 정보 관리 기능
 - 작업오더로 수행된 예방정비 작업종료 시, 예방정비/예방정비주기/차기예방정비일정 등의 예방정보 업데이트 기능
 - 우리 공사 표준시스템인 '스마트 안전관리 플랫폼'과 연계하여 안전작업허가서 관리
 - 스마트 안전관리 시스템에서, '안전작업허가서 승인 완료' 신호가 수신되어야만 작업오더를 '착수(Start)' 상태로 변경할 수 있는 프로세스 제어(Interlock) 기능을 구현해야 함.
(CNR-004) - 설비별 작업오더 설계이력 표준화 및 DB화 용역 포함(O/H 대상 설비)</v>
      </c>
      <c r="E150" s="86"/>
      <c r="F150" s="87"/>
      <c r="H150" s="36" t="s">
        <v>1129</v>
      </c>
    </row>
    <row r="151" spans="2:8" x14ac:dyDescent="0.3">
      <c r="B151" s="90" t="s">
        <v>871</v>
      </c>
      <c r="C151" s="91"/>
      <c r="D151" s="88">
        <f>VLOOKUP(D147, '3. 요건기술서 전체'!$B:$L, 9, 0)</f>
        <v>0</v>
      </c>
      <c r="E151" s="88"/>
      <c r="F151" s="89"/>
      <c r="H151" s="37">
        <v>0</v>
      </c>
    </row>
    <row r="152" spans="2:8" ht="15.75" thickBot="1" x14ac:dyDescent="0.35">
      <c r="B152" s="92" t="s">
        <v>47</v>
      </c>
      <c r="C152" s="93"/>
      <c r="D152" s="99" t="str">
        <f>VLOOKUP($D147,'3. 요건기술서 전체'!$B:$L,2,0)</f>
        <v>CNR-004</v>
      </c>
      <c r="E152" s="100"/>
      <c r="F152" s="101"/>
      <c r="H152" s="37" t="s">
        <v>516</v>
      </c>
    </row>
    <row r="153" spans="2:8" ht="15.75" thickBot="1" x14ac:dyDescent="0.35">
      <c r="H153" s="37"/>
    </row>
    <row r="154" spans="2:8" x14ac:dyDescent="0.3">
      <c r="B154" s="96" t="s">
        <v>41</v>
      </c>
      <c r="C154" s="97"/>
      <c r="D154" s="30" t="s">
        <v>53</v>
      </c>
      <c r="E154" s="31" t="s">
        <v>131</v>
      </c>
      <c r="F154" s="32" t="str">
        <f>VLOOKUP($D155,'3. 요건기술서 전체'!$B:$L,6,0)</f>
        <v>필수</v>
      </c>
      <c r="H154" s="37" t="s">
        <v>689</v>
      </c>
    </row>
    <row r="155" spans="2:8" x14ac:dyDescent="0.3">
      <c r="B155" s="94" t="s">
        <v>42</v>
      </c>
      <c r="C155" s="95"/>
      <c r="D155" s="33" t="str">
        <f>LEFT(D147,3)&amp;"-"&amp;TEXT(VALUE(RIGHT(D147,3))+1,"000")</f>
        <v>SFR-019</v>
      </c>
      <c r="E155" s="34" t="s">
        <v>85</v>
      </c>
      <c r="F155" s="35" t="str">
        <f>IFERROR(TRIM(IF(VLOOKUP($D155,'3. 요건기술서 전체'!$B:$L,10,0)&lt;&gt;"",IF(VLOOKUP($D155,'3. 요건기술서 전체'!$B:$L,10,0)="O", "한난O", IF(VLOOKUP($D155,'3. 요건기술서 전체'!$B:$L,10,0)="X", "한난X", "")),"") &amp; " " &amp;IF(VLOOKUP($D155,'3. 요건기술서 전체'!$B:$L,11,0)&lt;&gt;"",IF(VLOOKUP($D155,'3. 요건기술서 전체'!$B:$L,11,0)="O", "외부O", IF(VLOOKUP($D155,'3. 요건기술서 전체'!$B:$L,11,0)="X", "외부X", "")),"")),"")</f>
        <v/>
      </c>
      <c r="H155" s="44" t="s">
        <v>340</v>
      </c>
    </row>
    <row r="156" spans="2:8" x14ac:dyDescent="0.3">
      <c r="B156" s="94" t="s">
        <v>43</v>
      </c>
      <c r="C156" s="95"/>
      <c r="D156" s="85" t="str">
        <f>VLOOKUP($D155,'3. 요건기술서 전체'!$B:$L,5,0)</f>
        <v>기기점검결과보고서</v>
      </c>
      <c r="E156" s="86"/>
      <c r="F156" s="87"/>
      <c r="H156" s="36" t="s">
        <v>341</v>
      </c>
    </row>
    <row r="157" spans="2:8" x14ac:dyDescent="0.3">
      <c r="B157" s="98" t="s">
        <v>44</v>
      </c>
      <c r="C157" s="43" t="s">
        <v>45</v>
      </c>
      <c r="D157" s="85" t="str">
        <f>VLOOKUP($D155,'3. 요건기술서 전체'!$B:$L,7,0)</f>
        <v>작업관리 - 기기점검결과보고서</v>
      </c>
      <c r="E157" s="86"/>
      <c r="F157" s="87"/>
      <c r="H157" s="36" t="s">
        <v>532</v>
      </c>
    </row>
    <row r="158" spans="2:8" ht="63.75" x14ac:dyDescent="0.3">
      <c r="B158" s="98"/>
      <c r="C158" s="43" t="s">
        <v>46</v>
      </c>
      <c r="D158" s="85" t="str">
        <f>VLOOKUP($D155,'3. 요건기술서 전체'!$B:$L,8,0)</f>
        <v>○ 기기점검결과보고서 관리
 - 작업 중 작성하는 기기점검결과보고서 관리 기능
 - 점검 보고서 양식을 코딩 없이 현업이 직접 생성/수정할 수 있는 '전자서식 생성기(Form Generator)' 솔루션 또는 기능을 도입해야 함.
 - 기기점검결과보고서의 승인/반려 등의 처리/이력 관리 기능(알림 발송 포함)
 - 기기점검결과보고서를 활용한 공사통보서(서브오더, 기존 작업오더의 추가 작업오더) 연계 등록 기능</v>
      </c>
      <c r="E158" s="86"/>
      <c r="F158" s="87"/>
      <c r="H158" s="37" t="s">
        <v>785</v>
      </c>
    </row>
    <row r="159" spans="2:8" x14ac:dyDescent="0.3">
      <c r="B159" s="90" t="s">
        <v>871</v>
      </c>
      <c r="C159" s="91"/>
      <c r="D159" s="88">
        <f>VLOOKUP(D155, '3. 요건기술서 전체'!$B:$L, 9, 0)</f>
        <v>0</v>
      </c>
      <c r="E159" s="88"/>
      <c r="F159" s="89"/>
      <c r="H159" s="37">
        <v>0</v>
      </c>
    </row>
    <row r="160" spans="2:8" ht="15.75" thickBot="1" x14ac:dyDescent="0.35">
      <c r="B160" s="92" t="s">
        <v>47</v>
      </c>
      <c r="C160" s="93"/>
      <c r="D160" s="99">
        <f>VLOOKUP($D155,'3. 요건기술서 전체'!$B:$L,2,0)</f>
        <v>0</v>
      </c>
      <c r="E160" s="100"/>
      <c r="F160" s="101"/>
      <c r="H160" s="37">
        <v>0</v>
      </c>
    </row>
    <row r="161" spans="2:8" ht="15.75" thickBot="1" x14ac:dyDescent="0.35">
      <c r="H161" s="37"/>
    </row>
    <row r="162" spans="2:8" x14ac:dyDescent="0.3">
      <c r="B162" s="96" t="s">
        <v>41</v>
      </c>
      <c r="C162" s="97"/>
      <c r="D162" s="30" t="s">
        <v>53</v>
      </c>
      <c r="E162" s="31" t="s">
        <v>131</v>
      </c>
      <c r="F162" s="32" t="str">
        <f>VLOOKUP($D163,'3. 요건기술서 전체'!$B:$L,6,0)</f>
        <v>필수</v>
      </c>
      <c r="H162" s="44" t="s">
        <v>689</v>
      </c>
    </row>
    <row r="163" spans="2:8" x14ac:dyDescent="0.3">
      <c r="B163" s="94" t="s">
        <v>42</v>
      </c>
      <c r="C163" s="95"/>
      <c r="D163" s="33" t="str">
        <f>LEFT(D155,3)&amp;"-"&amp;TEXT(VALUE(RIGHT(D155,3))+1,"000")</f>
        <v>SFR-020</v>
      </c>
      <c r="E163" s="34" t="s">
        <v>85</v>
      </c>
      <c r="F163" s="35" t="str">
        <f>IFERROR(TRIM(IF(VLOOKUP($D163,'3. 요건기술서 전체'!$B:$L,10,0)&lt;&gt;"",IF(VLOOKUP($D163,'3. 요건기술서 전체'!$B:$L,10,0)="O", "한난O", IF(VLOOKUP($D163,'3. 요건기술서 전체'!$B:$L,10,0)="X", "한난X", "")),"") &amp; " " &amp;IF(VLOOKUP($D163,'3. 요건기술서 전체'!$B:$L,11,0)&lt;&gt;"",IF(VLOOKUP($D163,'3. 요건기술서 전체'!$B:$L,11,0)="O", "외부O", IF(VLOOKUP($D163,'3. 요건기술서 전체'!$B:$L,11,0)="X", "외부X", "")),"")),"")</f>
        <v>한난O 외부X</v>
      </c>
      <c r="H163" s="36" t="s">
        <v>342</v>
      </c>
    </row>
    <row r="164" spans="2:8" x14ac:dyDescent="0.3">
      <c r="B164" s="94" t="s">
        <v>43</v>
      </c>
      <c r="C164" s="95"/>
      <c r="D164" s="85" t="str">
        <f>VLOOKUP($D163,'3. 요건기술서 전체'!$B:$L,5,0)</f>
        <v>공사기간관리</v>
      </c>
      <c r="E164" s="86"/>
      <c r="F164" s="87"/>
      <c r="H164" s="36" t="s">
        <v>343</v>
      </c>
    </row>
    <row r="165" spans="2:8" x14ac:dyDescent="0.3">
      <c r="B165" s="98" t="s">
        <v>44</v>
      </c>
      <c r="C165" s="43" t="s">
        <v>45</v>
      </c>
      <c r="D165" s="85" t="str">
        <f>VLOOKUP($D163,'3. 요건기술서 전체'!$B:$L,7,0)</f>
        <v>작업관리 - 작업연장</v>
      </c>
      <c r="E165" s="86"/>
      <c r="F165" s="87"/>
      <c r="H165" s="37" t="s">
        <v>533</v>
      </c>
    </row>
    <row r="166" spans="2:8" ht="38.25" x14ac:dyDescent="0.3">
      <c r="B166" s="98"/>
      <c r="C166" s="43" t="s">
        <v>46</v>
      </c>
      <c r="D166" s="85" t="str">
        <f>VLOOKUP($D163,'3. 요건기술서 전체'!$B:$L,8,0)</f>
        <v>○ 작업연장 관리
 - 진행 중인 작업오더의 기간 연장 관리 기능
 - 요청내용/기간/사유/계획대비변동율/근거자료 및 승인/반려 등의 처리/이력 관리 기능</v>
      </c>
      <c r="E166" s="86"/>
      <c r="F166" s="87"/>
      <c r="H166" s="37" t="s">
        <v>786</v>
      </c>
    </row>
    <row r="167" spans="2:8" x14ac:dyDescent="0.3">
      <c r="B167" s="90" t="s">
        <v>871</v>
      </c>
      <c r="C167" s="91"/>
      <c r="D167" s="88">
        <f>VLOOKUP(D163, '3. 요건기술서 전체'!$B:$L, 9, 0)</f>
        <v>0</v>
      </c>
      <c r="E167" s="88"/>
      <c r="F167" s="89"/>
      <c r="H167" s="37">
        <v>0</v>
      </c>
    </row>
    <row r="168" spans="2:8" ht="15.75" thickBot="1" x14ac:dyDescent="0.35">
      <c r="B168" s="92" t="s">
        <v>47</v>
      </c>
      <c r="C168" s="93"/>
      <c r="D168" s="99">
        <f>VLOOKUP($D163,'3. 요건기술서 전체'!$B:$L,2,0)</f>
        <v>0</v>
      </c>
      <c r="E168" s="100"/>
      <c r="F168" s="101"/>
      <c r="H168" s="37">
        <v>0</v>
      </c>
    </row>
    <row r="169" spans="2:8" ht="15.75" thickBot="1" x14ac:dyDescent="0.35"/>
    <row r="170" spans="2:8" x14ac:dyDescent="0.3">
      <c r="B170" s="96" t="s">
        <v>41</v>
      </c>
      <c r="C170" s="97"/>
      <c r="D170" s="30" t="s">
        <v>53</v>
      </c>
      <c r="E170" s="31" t="s">
        <v>131</v>
      </c>
      <c r="F170" s="32" t="str">
        <f>VLOOKUP($D171,'3. 요건기술서 전체'!$B:$L,6,0)</f>
        <v>필수</v>
      </c>
      <c r="H170" s="36" t="s">
        <v>689</v>
      </c>
    </row>
    <row r="171" spans="2:8" x14ac:dyDescent="0.3">
      <c r="B171" s="94" t="s">
        <v>42</v>
      </c>
      <c r="C171" s="95"/>
      <c r="D171" s="33" t="str">
        <f>LEFT(D163,3)&amp;"-"&amp;TEXT(VALUE(RIGHT(D163,3))+1,"000")</f>
        <v>SFR-021</v>
      </c>
      <c r="E171" s="34" t="s">
        <v>85</v>
      </c>
      <c r="F171" s="35" t="str">
        <f>IFERROR(TRIM(IF(VLOOKUP($D171,'3. 요건기술서 전체'!$B:$L,10,0)&lt;&gt;"",IF(VLOOKUP($D171,'3. 요건기술서 전체'!$B:$L,10,0)="O", "한난O", IF(VLOOKUP($D171,'3. 요건기술서 전체'!$B:$L,10,0)="X", "한난X", "")),"") &amp; " " &amp;IF(VLOOKUP($D171,'3. 요건기술서 전체'!$B:$L,11,0)&lt;&gt;"",IF(VLOOKUP($D171,'3. 요건기술서 전체'!$B:$L,11,0)="O", "외부O", IF(VLOOKUP($D171,'3. 요건기술서 전체'!$B:$L,11,0)="X", "외부X", "")),"")),"")</f>
        <v>한난O 외부O</v>
      </c>
      <c r="H171" s="36" t="s">
        <v>344</v>
      </c>
    </row>
    <row r="172" spans="2:8" x14ac:dyDescent="0.3">
      <c r="B172" s="94" t="s">
        <v>43</v>
      </c>
      <c r="C172" s="95"/>
      <c r="D172" s="85" t="str">
        <f>VLOOKUP($D171,'3. 요건기술서 전체'!$B:$L,5,0)</f>
        <v>공사통보서 발행</v>
      </c>
      <c r="E172" s="86"/>
      <c r="F172" s="87"/>
      <c r="H172" s="37" t="s">
        <v>345</v>
      </c>
    </row>
    <row r="173" spans="2:8" x14ac:dyDescent="0.3">
      <c r="B173" s="98" t="s">
        <v>44</v>
      </c>
      <c r="C173" s="43" t="s">
        <v>45</v>
      </c>
      <c r="D173" s="85" t="str">
        <f>VLOOKUP($D171,'3. 요건기술서 전체'!$B:$L,7,0)</f>
        <v>작업관리 - 공사통보서</v>
      </c>
      <c r="E173" s="86"/>
      <c r="F173" s="87"/>
      <c r="H173" s="37" t="s">
        <v>534</v>
      </c>
    </row>
    <row r="174" spans="2:8" ht="63.75" x14ac:dyDescent="0.3">
      <c r="B174" s="98"/>
      <c r="C174" s="43" t="s">
        <v>46</v>
      </c>
      <c r="D174" s="85" t="str">
        <f>VLOOKUP($D171,'3. 요건기술서 전체'!$B:$L,8,0)</f>
        <v>○ 공사통보서(서브오더, 기존 작업오더의 추가 작업오더) 관리
 - 작업오더 수행 중, 추가자재/외주가공/장비임차 등을 관리하는 공사통보서 관리 기능
 - 공사통보서의 종류(지입/외주/임차)/통보내용/연계 작업오더/설계내역/설계금액 등의 정보 관리 기능
 - 지입/외주/임차 등 각 항목의 수량/단가를 활용한 총금액 자동 처리 기능
 - 다수의 기기점검결과보고서 연계 기능</v>
      </c>
      <c r="E174" s="86"/>
      <c r="F174" s="87"/>
      <c r="H174" s="37" t="s">
        <v>787</v>
      </c>
    </row>
    <row r="175" spans="2:8" x14ac:dyDescent="0.3">
      <c r="B175" s="90" t="s">
        <v>871</v>
      </c>
      <c r="C175" s="91"/>
      <c r="D175" s="88">
        <f>VLOOKUP(D171, '3. 요건기술서 전체'!$B:$L, 9, 0)</f>
        <v>0</v>
      </c>
      <c r="E175" s="88"/>
      <c r="F175" s="89"/>
      <c r="H175" s="37">
        <v>0</v>
      </c>
    </row>
    <row r="176" spans="2:8" ht="15.75" thickBot="1" x14ac:dyDescent="0.35">
      <c r="B176" s="92" t="s">
        <v>47</v>
      </c>
      <c r="C176" s="93"/>
      <c r="D176" s="99">
        <f>VLOOKUP($D171,'3. 요건기술서 전체'!$B:$L,2,0)</f>
        <v>0</v>
      </c>
      <c r="E176" s="100"/>
      <c r="F176" s="101"/>
      <c r="H176" s="44">
        <v>0</v>
      </c>
    </row>
    <row r="177" spans="2:8" ht="15.75" thickBot="1" x14ac:dyDescent="0.35">
      <c r="H177" s="36"/>
    </row>
    <row r="178" spans="2:8" x14ac:dyDescent="0.3">
      <c r="B178" s="96" t="s">
        <v>41</v>
      </c>
      <c r="C178" s="97"/>
      <c r="D178" s="30" t="s">
        <v>53</v>
      </c>
      <c r="E178" s="31" t="s">
        <v>131</v>
      </c>
      <c r="F178" s="32" t="str">
        <f>VLOOKUP($D179,'3. 요건기술서 전체'!$B:$L,6,0)</f>
        <v>필수</v>
      </c>
      <c r="H178" s="36" t="s">
        <v>689</v>
      </c>
    </row>
    <row r="179" spans="2:8" x14ac:dyDescent="0.3">
      <c r="B179" s="94" t="s">
        <v>42</v>
      </c>
      <c r="C179" s="95"/>
      <c r="D179" s="33" t="str">
        <f>LEFT(D171,3)&amp;"-"&amp;TEXT(VALUE(RIGHT(D171,3))+1,"000")</f>
        <v>SFR-022</v>
      </c>
      <c r="E179" s="34" t="s">
        <v>85</v>
      </c>
      <c r="F179" s="35" t="str">
        <f>IFERROR(TRIM(IF(VLOOKUP($D179,'3. 요건기술서 전체'!$B:$L,10,0)&lt;&gt;"",IF(VLOOKUP($D179,'3. 요건기술서 전체'!$B:$L,10,0)="O", "한난O", IF(VLOOKUP($D179,'3. 요건기술서 전체'!$B:$L,10,0)="X", "한난X", "")),"") &amp; " " &amp;IF(VLOOKUP($D179,'3. 요건기술서 전체'!$B:$L,11,0)&lt;&gt;"",IF(VLOOKUP($D179,'3. 요건기술서 전체'!$B:$L,11,0)="O", "외부O", IF(VLOOKUP($D179,'3. 요건기술서 전체'!$B:$L,11,0)="X", "외부X", "")),"")),"")</f>
        <v>한난O 외부O</v>
      </c>
      <c r="H179" s="37" t="s">
        <v>346</v>
      </c>
    </row>
    <row r="180" spans="2:8" x14ac:dyDescent="0.3">
      <c r="B180" s="94" t="s">
        <v>43</v>
      </c>
      <c r="C180" s="95"/>
      <c r="D180" s="85" t="str">
        <f>VLOOKUP($D179,'3. 요건기술서 전체'!$B:$L,5,0)</f>
        <v>검수 -지입/외주/임차</v>
      </c>
      <c r="E180" s="86"/>
      <c r="F180" s="87"/>
      <c r="H180" s="37" t="s">
        <v>788</v>
      </c>
    </row>
    <row r="181" spans="2:8" x14ac:dyDescent="0.3">
      <c r="B181" s="98" t="s">
        <v>44</v>
      </c>
      <c r="C181" s="43" t="s">
        <v>45</v>
      </c>
      <c r="D181" s="85" t="str">
        <f>VLOOKUP($D179,'3. 요건기술서 전체'!$B:$L,7,0)</f>
        <v>작업관리·공사관리(공통) - 지입·외주·임차 관리</v>
      </c>
      <c r="E181" s="86"/>
      <c r="F181" s="87"/>
      <c r="H181" s="37" t="s">
        <v>535</v>
      </c>
    </row>
    <row r="182" spans="2:8" ht="76.5" x14ac:dyDescent="0.3">
      <c r="B182" s="98"/>
      <c r="C182" s="43" t="s">
        <v>46</v>
      </c>
      <c r="D182" s="85" t="str">
        <f>VLOOKUP($D179,'3. 요건기술서 전체'!$B:$L,8,0)</f>
        <v>○ 검수 관리
 - 지입·외주·임차 검수 필요 건 조회 및 검수 요청, 검수 결과 입력 기능
 - 검수요청 시, 선택한 작업오더(또는 공사통보서) 정보 연계를 통한 자동 입력 기능
 - 검수 관련 증빙문서(견적서, 세금계산서, 검수사진, 납품서 등) 첨부/다운로드 기능
 - 정비부서 반려 시, 반려 사유 그룹핑 선택 지정 및 상세 반려내용 기록 기능
 - 현장 검수 시, 모바일 기기에서 검수 정보 확인, 수량 스캔(바코드/QR), 사진 촬영·첨부, 결과입력, 반려/승인요청 기능 제공</v>
      </c>
      <c r="E182" s="86"/>
      <c r="F182" s="87"/>
      <c r="H182" s="37" t="s">
        <v>789</v>
      </c>
    </row>
    <row r="183" spans="2:8" x14ac:dyDescent="0.3">
      <c r="B183" s="90" t="s">
        <v>871</v>
      </c>
      <c r="C183" s="91"/>
      <c r="D183" s="88">
        <f>VLOOKUP(D179, '3. 요건기술서 전체'!$B:$L, 9, 0)</f>
        <v>0</v>
      </c>
      <c r="E183" s="88"/>
      <c r="F183" s="89"/>
      <c r="H183" s="44">
        <v>0</v>
      </c>
    </row>
    <row r="184" spans="2:8" ht="15.75" thickBot="1" x14ac:dyDescent="0.35">
      <c r="B184" s="92" t="s">
        <v>47</v>
      </c>
      <c r="C184" s="93"/>
      <c r="D184" s="99">
        <f>VLOOKUP($D179,'3. 요건기술서 전체'!$B:$L,2,0)</f>
        <v>0</v>
      </c>
      <c r="E184" s="100"/>
      <c r="F184" s="101"/>
      <c r="H184" s="36">
        <v>0</v>
      </c>
    </row>
    <row r="185" spans="2:8" ht="15.75" thickBot="1" x14ac:dyDescent="0.35">
      <c r="H185" s="36"/>
    </row>
    <row r="186" spans="2:8" x14ac:dyDescent="0.3">
      <c r="B186" s="96" t="s">
        <v>41</v>
      </c>
      <c r="C186" s="97"/>
      <c r="D186" s="30" t="s">
        <v>53</v>
      </c>
      <c r="E186" s="31" t="s">
        <v>131</v>
      </c>
      <c r="F186" s="32" t="str">
        <f>VLOOKUP($D187,'3. 요건기술서 전체'!$B:$L,6,0)</f>
        <v>필수</v>
      </c>
      <c r="H186" s="37" t="s">
        <v>689</v>
      </c>
    </row>
    <row r="187" spans="2:8" x14ac:dyDescent="0.3">
      <c r="B187" s="94" t="s">
        <v>42</v>
      </c>
      <c r="C187" s="95"/>
      <c r="D187" s="33" t="str">
        <f>LEFT(D179,3)&amp;"-"&amp;TEXT(VALUE(RIGHT(D179,3))+1,"000")</f>
        <v>SFR-023</v>
      </c>
      <c r="E187" s="34" t="s">
        <v>85</v>
      </c>
      <c r="F187" s="35" t="str">
        <f>IFERROR(TRIM(IF(VLOOKUP($D187,'3. 요건기술서 전체'!$B:$L,10,0)&lt;&gt;"",IF(VLOOKUP($D187,'3. 요건기술서 전체'!$B:$L,10,0)="O", "한난O", IF(VLOOKUP($D187,'3. 요건기술서 전체'!$B:$L,10,0)="X", "한난X", "")),"") &amp; " " &amp;IF(VLOOKUP($D187,'3. 요건기술서 전체'!$B:$L,11,0)&lt;&gt;"",IF(VLOOKUP($D187,'3. 요건기술서 전체'!$B:$L,11,0)="O", "외부O", IF(VLOOKUP($D187,'3. 요건기술서 전체'!$B:$L,11,0)="X", "외부X", "")),"")),"")</f>
        <v>한난O 외부X</v>
      </c>
      <c r="H187" s="37" t="s">
        <v>347</v>
      </c>
    </row>
    <row r="188" spans="2:8" x14ac:dyDescent="0.3">
      <c r="B188" s="94" t="s">
        <v>43</v>
      </c>
      <c r="C188" s="95"/>
      <c r="D188" s="85" t="str">
        <f>VLOOKUP($D187,'3. 요건기술서 전체'!$B:$L,5,0)</f>
        <v>공사마스터</v>
      </c>
      <c r="E188" s="86"/>
      <c r="F188" s="87"/>
      <c r="H188" s="37" t="s">
        <v>348</v>
      </c>
    </row>
    <row r="189" spans="2:8" x14ac:dyDescent="0.3">
      <c r="B189" s="98" t="s">
        <v>44</v>
      </c>
      <c r="C189" s="43" t="s">
        <v>45</v>
      </c>
      <c r="D189" s="85" t="str">
        <f>VLOOKUP($D187,'3. 요건기술서 전체'!$B:$L,7,0)</f>
        <v>공사마스터 관리</v>
      </c>
      <c r="E189" s="86"/>
      <c r="F189" s="87"/>
      <c r="H189" s="37" t="s">
        <v>536</v>
      </c>
    </row>
    <row r="190" spans="2:8" ht="255" x14ac:dyDescent="0.3">
      <c r="B190" s="98"/>
      <c r="C190" s="43" t="s">
        <v>46</v>
      </c>
      <c r="D190" s="85" t="str">
        <f>VLOOKUP($D187,'3. 요건기술서 전체'!$B:$L,8,0)</f>
        <v>○ 공사마스터 관리
 - 공사종류/기간/금액 등의 공사 일반정보와 공사오더로 구성된 공사마스터 관리 기능
 - 공사일반/공사비/추정가격/정산/설계변경/준공/기성/검수 등의 정보 관리 기능
 - 공사마스터와 연관된 공사오더에 공통 적용 가능한 항목(보증기간, 노임단가, 간접노무비 등) 관리 기능
 - 공사마스터 정보 관리 시, 연관된 공사오더 설계 정보 확인 편의성 제공
 - 제비율 관리 기능(법규/공사 등의 기준 전산화 및 선택)
 - 물가정보 관리 기능
 - 물가정보 및 제비율의 기준 시점 변경 시, 관련된 단가/제비율 일괄 적용 기능
 - 물가정보/제비율 변경 시, '적용 개시일(Effective Date)' 관리 기능을 두어, 해당 일자 기준 이전/이후 공사오더의 단가가 자동 분리 적용되도록 설계해야 함.
 - 공사 설계변경, 제비율 기준 변경 등 주요 정보 알림 기능
 - 공사오더의 금액을 활용하여 제경비 자동 산출 기능(사용자 지정 산출식 적용 등)
 - 공사마스터 미사용 처리 시, 공사마스터에 연결된 공사오더 미사용 처리 기능
 - 유사 공사마스터 설계 내역 복사 및 일부 정보 복사 기능
 - 정산/설계변경/준공검수내역확인 등 내부처리 업무 지원(전자결재/전자계약 등 연계 처리)
 - 공사마스터 변경 시, 변경 전·후 비교 기능
 - 공사오더 실적 기반 집행률/잔액계산 등 비용 정보 확인 기능(계약액 대비)
 - 공사마스터 변경 시, 기술정산서 관리 기능
 - 준공/기성 검사결과 및 검수자료(검사성적서, 사진 등) 관리 기능
 - 본사 통합발주(경상정비 공사, 판형열교환기, 유체커플링 등) 공사 설계 및 지사별 사후관리 기능 지원</v>
      </c>
      <c r="E190" s="86"/>
      <c r="F190" s="87"/>
      <c r="H190" s="44" t="s">
        <v>1057</v>
      </c>
    </row>
    <row r="191" spans="2:8" x14ac:dyDescent="0.3">
      <c r="B191" s="90" t="s">
        <v>871</v>
      </c>
      <c r="C191" s="91"/>
      <c r="D191" s="88">
        <f>VLOOKUP(D187, '3. 요건기술서 전체'!$B:$L, 9, 0)</f>
        <v>0</v>
      </c>
      <c r="E191" s="88"/>
      <c r="F191" s="89"/>
      <c r="H191" s="36">
        <v>0</v>
      </c>
    </row>
    <row r="192" spans="2:8" ht="15.75" thickBot="1" x14ac:dyDescent="0.35">
      <c r="B192" s="92" t="s">
        <v>47</v>
      </c>
      <c r="C192" s="93"/>
      <c r="D192" s="99">
        <f>VLOOKUP($D187,'3. 요건기술서 전체'!$B:$L,2,0)</f>
        <v>0</v>
      </c>
      <c r="E192" s="100"/>
      <c r="F192" s="101"/>
      <c r="H192" s="36">
        <v>0</v>
      </c>
    </row>
    <row r="193" spans="2:8" ht="15.75" thickBot="1" x14ac:dyDescent="0.35">
      <c r="H193" s="37"/>
    </row>
    <row r="194" spans="2:8" x14ac:dyDescent="0.3">
      <c r="B194" s="96" t="s">
        <v>41</v>
      </c>
      <c r="C194" s="97"/>
      <c r="D194" s="30" t="s">
        <v>53</v>
      </c>
      <c r="E194" s="31" t="s">
        <v>131</v>
      </c>
      <c r="F194" s="32" t="str">
        <f>VLOOKUP($D195,'3. 요건기술서 전체'!$B:$L,6,0)</f>
        <v>필수</v>
      </c>
      <c r="H194" s="37" t="s">
        <v>689</v>
      </c>
    </row>
    <row r="195" spans="2:8" x14ac:dyDescent="0.3">
      <c r="B195" s="94" t="s">
        <v>42</v>
      </c>
      <c r="C195" s="95"/>
      <c r="D195" s="33" t="str">
        <f>LEFT(D187,3)&amp;"-"&amp;TEXT(VALUE(RIGHT(D187,3))+1,"000")</f>
        <v>SFR-024</v>
      </c>
      <c r="E195" s="34" t="s">
        <v>85</v>
      </c>
      <c r="F195" s="35" t="str">
        <f>IFERROR(TRIM(IF(VLOOKUP($D195,'3. 요건기술서 전체'!$B:$L,10,0)&lt;&gt;"",IF(VLOOKUP($D195,'3. 요건기술서 전체'!$B:$L,10,0)="O", "한난O", IF(VLOOKUP($D195,'3. 요건기술서 전체'!$B:$L,10,0)="X", "한난X", "")),"") &amp; " " &amp;IF(VLOOKUP($D195,'3. 요건기술서 전체'!$B:$L,11,0)&lt;&gt;"",IF(VLOOKUP($D195,'3. 요건기술서 전체'!$B:$L,11,0)="O", "외부O", IF(VLOOKUP($D195,'3. 요건기술서 전체'!$B:$L,11,0)="X", "외부X", "")),"")),"")</f>
        <v>한난O 외부X</v>
      </c>
      <c r="H195" s="37" t="s">
        <v>349</v>
      </c>
    </row>
    <row r="196" spans="2:8" x14ac:dyDescent="0.3">
      <c r="B196" s="94" t="s">
        <v>43</v>
      </c>
      <c r="C196" s="95"/>
      <c r="D196" s="85" t="str">
        <f>VLOOKUP($D195,'3. 요건기술서 전체'!$B:$L,5,0)</f>
        <v>용역마스터</v>
      </c>
      <c r="E196" s="86"/>
      <c r="F196" s="87"/>
      <c r="H196" s="37" t="s">
        <v>350</v>
      </c>
    </row>
    <row r="197" spans="2:8" x14ac:dyDescent="0.3">
      <c r="B197" s="98" t="s">
        <v>44</v>
      </c>
      <c r="C197" s="43" t="s">
        <v>45</v>
      </c>
      <c r="D197" s="85" t="str">
        <f>VLOOKUP($D195,'3. 요건기술서 전체'!$B:$L,7,0)</f>
        <v>용역마스터 관리</v>
      </c>
      <c r="E197" s="86"/>
      <c r="F197" s="87"/>
      <c r="H197" s="44" t="s">
        <v>537</v>
      </c>
    </row>
    <row r="198" spans="2:8" ht="220.5" customHeight="1" x14ac:dyDescent="0.3">
      <c r="B198" s="98"/>
      <c r="C198" s="43" t="s">
        <v>46</v>
      </c>
      <c r="D198" s="85" t="str">
        <f>VLOOKUP($D195,'3. 요건기술서 전체'!$B:$L,8,0)</f>
        <v>○ 용역마스터 관리
 - 용역종류/기간/금액 등의 용역 일반정보와 용역오더로 구성된 용역마스터 관리 기능
 - 용역일반/용역비/추정가격/정산/설계변경/준공/기성/검수 등의 정보 관리 기능
 - 제비율 관리 기능(법규/용역 등의 기준 전산화 및 선택)
 - 물가정보 관리 기능
 - 물가정보 및 제비율의 기준 시점 변경 시, 관련된 단가/제비율 일괄 적용 기능
 - 물가정보/제비율 변경 시, '적용 개시일(Effective Date)' 관리 기능을 두어, 해당 일자 기준 이전/이후 용역오더의 단가가 자동 분리 적용되도록 설계해야 함.
 - 용역 설계변경, 제비율 기준 변경 등 주요 정보 알림 기능
 - 용역오더의 금액을 활용하여 제경비 자동 산출 기능(사용자 지정 산출식 적용 등)
 - 용역마스터 미사용 처리 시, 용역마스터에 연결된 용역오더 미사용 처리 기능
 - 유사 용역마스터 설계 내역 복사 및 일부 정보 복사 기능
 - 정산/설계변경/준공검수내역확인 등 내부처리 업무 지원(전자결재/전자계약 등 연계 처리)
 - 용역마스터 변경 시, 변경 전·후 비교 기능
 - 용역오더 실적 기반 집행률/잔액계산 등 비용 정보 확인 기능(계약액 대비)
 - 준공/기성 검사결과 및 검수자료(검사성적서, 사진 등) 관리 기능
 - 본사 통합발주(소형 CHP 경상정비 용역 등) 용역 설계 및 지사별 사후관리 기능 지원</v>
      </c>
      <c r="E198" s="86"/>
      <c r="F198" s="87"/>
      <c r="H198" s="36" t="s">
        <v>1134</v>
      </c>
    </row>
    <row r="199" spans="2:8" x14ac:dyDescent="0.3">
      <c r="B199" s="90" t="s">
        <v>871</v>
      </c>
      <c r="C199" s="91"/>
      <c r="D199" s="88">
        <f>VLOOKUP(D195, '3. 요건기술서 전체'!$B:$L, 9, 0)</f>
        <v>0</v>
      </c>
      <c r="E199" s="88"/>
      <c r="F199" s="89"/>
      <c r="H199" s="36">
        <v>0</v>
      </c>
    </row>
    <row r="200" spans="2:8" ht="15.75" thickBot="1" x14ac:dyDescent="0.35">
      <c r="B200" s="92" t="s">
        <v>47</v>
      </c>
      <c r="C200" s="93"/>
      <c r="D200" s="99">
        <f>VLOOKUP($D195,'3. 요건기술서 전체'!$B:$L,2,0)</f>
        <v>0</v>
      </c>
      <c r="E200" s="100"/>
      <c r="F200" s="101"/>
      <c r="H200" s="37">
        <v>0</v>
      </c>
    </row>
    <row r="201" spans="2:8" ht="15.75" thickBot="1" x14ac:dyDescent="0.35">
      <c r="H201" s="37"/>
    </row>
    <row r="202" spans="2:8" x14ac:dyDescent="0.3">
      <c r="B202" s="96" t="s">
        <v>41</v>
      </c>
      <c r="C202" s="97"/>
      <c r="D202" s="30" t="s">
        <v>53</v>
      </c>
      <c r="E202" s="31" t="s">
        <v>131</v>
      </c>
      <c r="F202" s="32" t="str">
        <f>VLOOKUP($D203,'3. 요건기술서 전체'!$B:$L,6,0)</f>
        <v>필수</v>
      </c>
      <c r="H202" s="37" t="s">
        <v>689</v>
      </c>
    </row>
    <row r="203" spans="2:8" x14ac:dyDescent="0.3">
      <c r="B203" s="94" t="s">
        <v>42</v>
      </c>
      <c r="C203" s="95"/>
      <c r="D203" s="33" t="str">
        <f>LEFT(D195,3)&amp;"-"&amp;TEXT(VALUE(RIGHT(D195,3))+1,"000")</f>
        <v>SFR-025</v>
      </c>
      <c r="E203" s="34" t="s">
        <v>85</v>
      </c>
      <c r="F203" s="35" t="str">
        <f>IFERROR(TRIM(IF(VLOOKUP($D203,'3. 요건기술서 전체'!$B:$L,10,0)&lt;&gt;"",IF(VLOOKUP($D203,'3. 요건기술서 전체'!$B:$L,10,0)="O", "한난O", IF(VLOOKUP($D203,'3. 요건기술서 전체'!$B:$L,10,0)="X", "한난X", "")),"") &amp; " " &amp;IF(VLOOKUP($D203,'3. 요건기술서 전체'!$B:$L,11,0)&lt;&gt;"",IF(VLOOKUP($D203,'3. 요건기술서 전체'!$B:$L,11,0)="O", "외부O", IF(VLOOKUP($D203,'3. 요건기술서 전체'!$B:$L,11,0)="X", "외부X", "")),"")),"")</f>
        <v>한난O 외부X</v>
      </c>
      <c r="H203" s="37" t="s">
        <v>351</v>
      </c>
    </row>
    <row r="204" spans="2:8" x14ac:dyDescent="0.3">
      <c r="B204" s="94" t="s">
        <v>43</v>
      </c>
      <c r="C204" s="95"/>
      <c r="D204" s="85" t="str">
        <f>VLOOKUP($D203,'3. 요건기술서 전체'!$B:$L,5,0)</f>
        <v>공사오더 조회 및 생성</v>
      </c>
      <c r="E204" s="86"/>
      <c r="F204" s="87"/>
      <c r="H204" s="44" t="s">
        <v>352</v>
      </c>
    </row>
    <row r="205" spans="2:8" x14ac:dyDescent="0.3">
      <c r="B205" s="98" t="s">
        <v>44</v>
      </c>
      <c r="C205" s="43" t="s">
        <v>45</v>
      </c>
      <c r="D205" s="85" t="str">
        <f>VLOOKUP($D203,'3. 요건기술서 전체'!$B:$L,7,0)</f>
        <v>공사오더 관리</v>
      </c>
      <c r="E205" s="86"/>
      <c r="F205" s="87"/>
      <c r="H205" s="36" t="s">
        <v>538</v>
      </c>
    </row>
    <row r="206" spans="2:8" ht="191.25" x14ac:dyDescent="0.3">
      <c r="B206" s="98"/>
      <c r="C206" s="43" t="s">
        <v>46</v>
      </c>
      <c r="D206" s="85" t="str">
        <f>VLOOKUP($D203,'3. 요건기술서 전체'!$B:$L,8,0)</f>
        <v>○ 공사오더 관리
 - 공사마스터에 속하는 공사오더 관리 기능
 - 공사오더 일반정보(설비마스터/설계자/보수/운영/정비부서/작업기간/작업등급/작업허가여부 등) 및 상세정보(공량/자재/경비/Red Tag 등) 관리 기능
 - 상세정보에서 작업항목/작업항목별 공량/자재/경비/Red Tag 등의 설계 기능 및 각 설계내역의 총 금액 자동 산출 기능
 - 기존 공사오더 설계 내역(공량/자재/경비설계 등) 전체·일부 복사 기능
 - 설비별 적합 설계 이력 추천/적용 기능(AI 기술 활용 등 제안사 특화 기능 제시)
 - 품셈 및 물가정보 관리 기능(전산화 및 조회/선택)
 - 경비 설계시 항목별 산출근거 자료 관리 및 총경비 금액 중 도급분/사급분 금액 자동계산 기능
 - 협력사별 견적 등록 기능(외부 접근)
 - 설비마스터에 기 등록된 Red Tag 정보 자동 연계 기능(수정 가능)
 - 설비마스터에 Red Tag 미등록 시, Red Tag 설계 이력 추천/적용 기능(AI 기술 활용 등 제안사 특화 기능 제시)
 - 필수 항목 누락, 수량/단가 입력 오류, 중복 품목 등록 등 사용자 입력 오류 검증 및 안내 기능
 - 설비마스터 다중 선택 후, 공사오더 등록 및 일괄 승인 처리 기능
 - 우리공사 표준시스템인 '스마트 안전관리 플랫폼'과 연계하여 안전작업허가서 관리</v>
      </c>
      <c r="E206" s="86"/>
      <c r="F206" s="87"/>
      <c r="H206" s="36" t="s">
        <v>1058</v>
      </c>
    </row>
    <row r="207" spans="2:8" x14ac:dyDescent="0.3">
      <c r="B207" s="90" t="s">
        <v>871</v>
      </c>
      <c r="C207" s="91"/>
      <c r="D207" s="88">
        <f>VLOOKUP(D203, '3. 요건기술서 전체'!$B:$L, 9, 0)</f>
        <v>0</v>
      </c>
      <c r="E207" s="88"/>
      <c r="F207" s="89"/>
      <c r="H207" s="37">
        <v>0</v>
      </c>
    </row>
    <row r="208" spans="2:8" ht="15.75" thickBot="1" x14ac:dyDescent="0.35">
      <c r="B208" s="92" t="s">
        <v>47</v>
      </c>
      <c r="C208" s="93"/>
      <c r="D208" s="99">
        <f>VLOOKUP($D203,'3. 요건기술서 전체'!$B:$L,2,0)</f>
        <v>0</v>
      </c>
      <c r="E208" s="100"/>
      <c r="F208" s="101"/>
      <c r="H208" s="37">
        <v>0</v>
      </c>
    </row>
    <row r="209" spans="2:8" ht="15.75" thickBot="1" x14ac:dyDescent="0.35">
      <c r="H209" s="37"/>
    </row>
    <row r="210" spans="2:8" x14ac:dyDescent="0.3">
      <c r="B210" s="96" t="s">
        <v>41</v>
      </c>
      <c r="C210" s="97"/>
      <c r="D210" s="30" t="s">
        <v>53</v>
      </c>
      <c r="E210" s="31" t="s">
        <v>131</v>
      </c>
      <c r="F210" s="32" t="str">
        <f>VLOOKUP($D211,'3. 요건기술서 전체'!$B:$L,6,0)</f>
        <v>필수</v>
      </c>
      <c r="H210" s="37" t="s">
        <v>689</v>
      </c>
    </row>
    <row r="211" spans="2:8" x14ac:dyDescent="0.3">
      <c r="B211" s="94" t="s">
        <v>42</v>
      </c>
      <c r="C211" s="95"/>
      <c r="D211" s="33" t="str">
        <f>LEFT(D203,3)&amp;"-"&amp;TEXT(VALUE(RIGHT(D203,3))+1,"000")</f>
        <v>SFR-026</v>
      </c>
      <c r="E211" s="34" t="s">
        <v>85</v>
      </c>
      <c r="F211" s="35" t="str">
        <f>IFERROR(TRIM(IF(VLOOKUP($D211,'3. 요건기술서 전체'!$B:$L,10,0)&lt;&gt;"",IF(VLOOKUP($D211,'3. 요건기술서 전체'!$B:$L,10,0)="O", "한난O", IF(VLOOKUP($D211,'3. 요건기술서 전체'!$B:$L,10,0)="X", "한난X", "")),"") &amp; " " &amp;IF(VLOOKUP($D211,'3. 요건기술서 전체'!$B:$L,11,0)&lt;&gt;"",IF(VLOOKUP($D211,'3. 요건기술서 전체'!$B:$L,11,0)="O", "외부O", IF(VLOOKUP($D211,'3. 요건기술서 전체'!$B:$L,11,0)="X", "외부X", "")),"")),"")</f>
        <v>한난O 외부O</v>
      </c>
      <c r="H211" s="44" t="s">
        <v>353</v>
      </c>
    </row>
    <row r="212" spans="2:8" x14ac:dyDescent="0.3">
      <c r="B212" s="94" t="s">
        <v>43</v>
      </c>
      <c r="C212" s="95"/>
      <c r="D212" s="85" t="str">
        <f>VLOOKUP($D211,'3. 요건기술서 전체'!$B:$L,5,0)</f>
        <v>공사 작업결과 입력</v>
      </c>
      <c r="E212" s="86"/>
      <c r="F212" s="87"/>
      <c r="H212" s="36" t="s">
        <v>354</v>
      </c>
    </row>
    <row r="213" spans="2:8" x14ac:dyDescent="0.3">
      <c r="B213" s="98" t="s">
        <v>44</v>
      </c>
      <c r="C213" s="43" t="s">
        <v>45</v>
      </c>
      <c r="D213" s="85" t="str">
        <f>VLOOKUP($D211,'3. 요건기술서 전체'!$B:$L,7,0)</f>
        <v>공사오더 - 작업결과 관리</v>
      </c>
      <c r="E213" s="86"/>
      <c r="F213" s="87"/>
      <c r="H213" s="36" t="s">
        <v>539</v>
      </c>
    </row>
    <row r="214" spans="2:8" ht="51" x14ac:dyDescent="0.3">
      <c r="B214" s="98"/>
      <c r="C214" s="43" t="s">
        <v>46</v>
      </c>
      <c r="D214" s="85" t="str">
        <f>VLOOKUP($D211,'3. 요건기술서 전체'!$B:$L,8,0)</f>
        <v>○ 공사오더 - 작업결과 관리
 - 실작업기간/작업형태/작업내용/작업결과/수행사진/관련자료첨부 등 관리 기능
 - 작업결과는 승인 후 대상 설비의 정비 이력으로 자동 반영
 - 정기점검 주기 관리 및 차기 정기점검보수 일정 자동 등록 기능</v>
      </c>
      <c r="E214" s="86"/>
      <c r="F214" s="87"/>
      <c r="H214" s="37" t="s">
        <v>1059</v>
      </c>
    </row>
    <row r="215" spans="2:8" x14ac:dyDescent="0.3">
      <c r="B215" s="90" t="s">
        <v>871</v>
      </c>
      <c r="C215" s="91"/>
      <c r="D215" s="88">
        <f>VLOOKUP(D211, '3. 요건기술서 전체'!$B:$L, 9, 0)</f>
        <v>0</v>
      </c>
      <c r="E215" s="88"/>
      <c r="F215" s="89"/>
      <c r="H215" s="37">
        <v>0</v>
      </c>
    </row>
    <row r="216" spans="2:8" ht="15.75" thickBot="1" x14ac:dyDescent="0.35">
      <c r="B216" s="92" t="s">
        <v>47</v>
      </c>
      <c r="C216" s="93"/>
      <c r="D216" s="99">
        <f>VLOOKUP($D211,'3. 요건기술서 전체'!$B:$L,2,0)</f>
        <v>0</v>
      </c>
      <c r="E216" s="100"/>
      <c r="F216" s="101"/>
      <c r="H216" s="37">
        <v>0</v>
      </c>
    </row>
    <row r="217" spans="2:8" ht="15.75" thickBot="1" x14ac:dyDescent="0.35">
      <c r="H217" s="37"/>
    </row>
    <row r="218" spans="2:8" x14ac:dyDescent="0.3">
      <c r="B218" s="96" t="s">
        <v>41</v>
      </c>
      <c r="C218" s="97"/>
      <c r="D218" s="30" t="s">
        <v>53</v>
      </c>
      <c r="E218" s="31" t="s">
        <v>131</v>
      </c>
      <c r="F218" s="32" t="str">
        <f>VLOOKUP($D219,'3. 요건기술서 전체'!$B:$L,6,0)</f>
        <v>필수</v>
      </c>
      <c r="H218" s="44" t="s">
        <v>689</v>
      </c>
    </row>
    <row r="219" spans="2:8" x14ac:dyDescent="0.3">
      <c r="B219" s="94" t="s">
        <v>42</v>
      </c>
      <c r="C219" s="95"/>
      <c r="D219" s="33" t="str">
        <f>LEFT(D211,3)&amp;"-"&amp;TEXT(VALUE(RIGHT(D211,3))+1,"000")</f>
        <v>SFR-027</v>
      </c>
      <c r="E219" s="34" t="s">
        <v>85</v>
      </c>
      <c r="F219" s="35" t="str">
        <f>IFERROR(TRIM(IF(VLOOKUP($D219,'3. 요건기술서 전체'!$B:$L,10,0)&lt;&gt;"",IF(VLOOKUP($D219,'3. 요건기술서 전체'!$B:$L,10,0)="O", "한난O", IF(VLOOKUP($D219,'3. 요건기술서 전체'!$B:$L,10,0)="X", "한난X", "")),"") &amp; " " &amp;IF(VLOOKUP($D219,'3. 요건기술서 전체'!$B:$L,11,0)&lt;&gt;"",IF(VLOOKUP($D219,'3. 요건기술서 전체'!$B:$L,11,0)="O", "외부O", IF(VLOOKUP($D219,'3. 요건기술서 전체'!$B:$L,11,0)="X", "외부X", "")),"")),"")</f>
        <v/>
      </c>
      <c r="H219" s="36" t="s">
        <v>355</v>
      </c>
    </row>
    <row r="220" spans="2:8" x14ac:dyDescent="0.3">
      <c r="B220" s="94" t="s">
        <v>43</v>
      </c>
      <c r="C220" s="95"/>
      <c r="D220" s="85" t="str">
        <f>VLOOKUP($D219,'3. 요건기술서 전체'!$B:$L,5,0)</f>
        <v>설계기준 -설계기준서 관리</v>
      </c>
      <c r="E220" s="86"/>
      <c r="F220" s="87"/>
      <c r="H220" s="36" t="s">
        <v>790</v>
      </c>
    </row>
    <row r="221" spans="2:8" x14ac:dyDescent="0.3">
      <c r="B221" s="98" t="s">
        <v>44</v>
      </c>
      <c r="C221" s="43" t="s">
        <v>45</v>
      </c>
      <c r="D221" s="85" t="str">
        <f>VLOOKUP($D219,'3. 요건기술서 전체'!$B:$L,7,0)</f>
        <v>공사오더 - 설계기준서 관리</v>
      </c>
      <c r="E221" s="86"/>
      <c r="F221" s="87"/>
      <c r="H221" s="37" t="s">
        <v>540</v>
      </c>
    </row>
    <row r="222" spans="2:8" ht="89.25" x14ac:dyDescent="0.3">
      <c r="B222" s="98"/>
      <c r="C222" s="43" t="s">
        <v>46</v>
      </c>
      <c r="D222" s="85" t="str">
        <f>VLOOKUP($D219,'3. 요건기술서 전체'!$B:$L,8,0)</f>
        <v>○ 공사오더 - 설계기준서 관리
 - 설비·설비군·기능위치에 적용 가능한 작업등급(A/B/C 등급 등)별 설계기준서 작성
 - 설계기준서에서 작업내용/작업절차/자재/공량/품셈 등의 정보를 관리
 - 신규 생성 시, 과거 동일/유사 설계이력을 조회/추천/적용 기능(AI 기술 활용 등 제안사 특화 기능 제시)
 - 공사용/예방정비용/경상정비용 등의 종류 구분 기능
 - 설계기준서의 버전관리 및 이전 버전과의 비교 기능
 - 공사 열원보수표준품셈을 반영하여, 설비마스터 內 DB화된 설비 용량에 따라 설계기준서의 용량을 적용한 설계기준서 자동생성 기능 제공</v>
      </c>
      <c r="E222" s="86"/>
      <c r="F222" s="87"/>
      <c r="H222" s="37" t="s">
        <v>1060</v>
      </c>
    </row>
    <row r="223" spans="2:8" x14ac:dyDescent="0.3">
      <c r="B223" s="90" t="s">
        <v>871</v>
      </c>
      <c r="C223" s="91"/>
      <c r="D223" s="88">
        <f>VLOOKUP(D219, '3. 요건기술서 전체'!$B:$L, 9, 0)</f>
        <v>0</v>
      </c>
      <c r="E223" s="88"/>
      <c r="F223" s="89"/>
      <c r="H223" s="37">
        <v>0</v>
      </c>
    </row>
    <row r="224" spans="2:8" ht="15.75" thickBot="1" x14ac:dyDescent="0.35">
      <c r="B224" s="92" t="s">
        <v>47</v>
      </c>
      <c r="C224" s="93"/>
      <c r="D224" s="99">
        <f>VLOOKUP($D219,'3. 요건기술서 전체'!$B:$L,2,0)</f>
        <v>0</v>
      </c>
      <c r="E224" s="100"/>
      <c r="F224" s="101"/>
      <c r="H224" s="37">
        <v>0</v>
      </c>
    </row>
    <row r="225" spans="2:8" ht="15.75" thickBot="1" x14ac:dyDescent="0.35"/>
    <row r="226" spans="2:8" x14ac:dyDescent="0.3">
      <c r="B226" s="96" t="s">
        <v>41</v>
      </c>
      <c r="C226" s="97"/>
      <c r="D226" s="30" t="s">
        <v>53</v>
      </c>
      <c r="E226" s="31" t="s">
        <v>131</v>
      </c>
      <c r="F226" s="32" t="str">
        <f>VLOOKUP($D227,'3. 요건기술서 전체'!$B:$L,6,0)</f>
        <v>필수</v>
      </c>
      <c r="H226" s="36" t="s">
        <v>689</v>
      </c>
    </row>
    <row r="227" spans="2:8" x14ac:dyDescent="0.3">
      <c r="B227" s="94" t="s">
        <v>42</v>
      </c>
      <c r="C227" s="95"/>
      <c r="D227" s="33" t="str">
        <f>LEFT(D219,3)&amp;"-"&amp;TEXT(VALUE(RIGHT(D219,3))+1,"000")</f>
        <v>SFR-028</v>
      </c>
      <c r="E227" s="34" t="s">
        <v>85</v>
      </c>
      <c r="F227" s="35" t="str">
        <f>IFERROR(TRIM(IF(VLOOKUP($D227,'3. 요건기술서 전체'!$B:$L,10,0)&lt;&gt;"",IF(VLOOKUP($D227,'3. 요건기술서 전체'!$B:$L,10,0)="O", "한난O", IF(VLOOKUP($D227,'3. 요건기술서 전체'!$B:$L,10,0)="X", "한난X", "")),"") &amp; " " &amp;IF(VLOOKUP($D227,'3. 요건기술서 전체'!$B:$L,11,0)&lt;&gt;"",IF(VLOOKUP($D227,'3. 요건기술서 전체'!$B:$L,11,0)="O", "외부O", IF(VLOOKUP($D227,'3. 요건기술서 전체'!$B:$L,11,0)="X", "외부X", "")),"")),"")</f>
        <v/>
      </c>
      <c r="H227" s="36" t="s">
        <v>356</v>
      </c>
    </row>
    <row r="228" spans="2:8" x14ac:dyDescent="0.3">
      <c r="B228" s="94" t="s">
        <v>43</v>
      </c>
      <c r="C228" s="95"/>
      <c r="D228" s="85" t="str">
        <f>VLOOKUP($D227,'3. 요건기술서 전체'!$B:$L,5,0)</f>
        <v>설계기준 -제비율표 관리</v>
      </c>
      <c r="E228" s="86"/>
      <c r="F228" s="87"/>
      <c r="H228" s="37" t="s">
        <v>791</v>
      </c>
    </row>
    <row r="229" spans="2:8" x14ac:dyDescent="0.3">
      <c r="B229" s="98" t="s">
        <v>44</v>
      </c>
      <c r="C229" s="43" t="s">
        <v>45</v>
      </c>
      <c r="D229" s="85" t="str">
        <f>VLOOKUP($D227,'3. 요건기술서 전체'!$B:$L,7,0)</f>
        <v>공사오더 - 제비율표 관리</v>
      </c>
      <c r="E229" s="86"/>
      <c r="F229" s="87"/>
      <c r="H229" s="37" t="s">
        <v>541</v>
      </c>
    </row>
    <row r="230" spans="2:8" ht="89.25" x14ac:dyDescent="0.3">
      <c r="B230" s="98"/>
      <c r="C230" s="43" t="s">
        <v>46</v>
      </c>
      <c r="D230" s="85" t="str">
        <f>VLOOKUP($D227,'3. 요건기술서 전체'!$B:$L,8,0)</f>
        <v>○ 공사오더 - 제비율표 관리
 - 제비율표는 조달청/물가정보 사이트에서 공개되는 정보를 전산화(전산화 방안 제시)
 - 항목/공사종류/공사기간/공사규모 등 다차원 분류 및 코드로 관리
 - 해당 항목 선택 시, 설계에 반영 기능
 - 제경비 기준시점별 이력 관리 및 기준 선택 시, 해당 항목 일괄적용 기능
 - 비율, 소수점 자릿수, 반올림/버림 등의 규칙 설정 기능
 - 'SAP ERP와 동일한 소수점 처리 라이브러리/로직'을 적용하여 정합성 보장</v>
      </c>
      <c r="E230" s="86"/>
      <c r="F230" s="87"/>
      <c r="H230" s="37" t="s">
        <v>792</v>
      </c>
    </row>
    <row r="231" spans="2:8" x14ac:dyDescent="0.3">
      <c r="B231" s="90" t="s">
        <v>871</v>
      </c>
      <c r="C231" s="91"/>
      <c r="D231" s="88">
        <f>VLOOKUP(D227, '3. 요건기술서 전체'!$B:$L, 9, 0)</f>
        <v>0</v>
      </c>
      <c r="E231" s="88"/>
      <c r="F231" s="89"/>
      <c r="H231" s="37">
        <v>0</v>
      </c>
    </row>
    <row r="232" spans="2:8" ht="15.75" thickBot="1" x14ac:dyDescent="0.35">
      <c r="B232" s="92" t="s">
        <v>47</v>
      </c>
      <c r="C232" s="93"/>
      <c r="D232" s="99">
        <f>VLOOKUP($D227,'3. 요건기술서 전체'!$B:$L,2,0)</f>
        <v>0</v>
      </c>
      <c r="E232" s="100"/>
      <c r="F232" s="101"/>
      <c r="H232" s="44">
        <v>0</v>
      </c>
    </row>
    <row r="233" spans="2:8" ht="15.75" thickBot="1" x14ac:dyDescent="0.35">
      <c r="H233" s="36"/>
    </row>
    <row r="234" spans="2:8" x14ac:dyDescent="0.3">
      <c r="B234" s="96" t="s">
        <v>41</v>
      </c>
      <c r="C234" s="97"/>
      <c r="D234" s="30" t="s">
        <v>53</v>
      </c>
      <c r="E234" s="31" t="s">
        <v>131</v>
      </c>
      <c r="F234" s="32" t="str">
        <f>VLOOKUP($D235,'3. 요건기술서 전체'!$B:$L,6,0)</f>
        <v>필수</v>
      </c>
      <c r="H234" s="36" t="s">
        <v>689</v>
      </c>
    </row>
    <row r="235" spans="2:8" x14ac:dyDescent="0.3">
      <c r="B235" s="94" t="s">
        <v>42</v>
      </c>
      <c r="C235" s="95"/>
      <c r="D235" s="33" t="str">
        <f>LEFT(D227,3)&amp;"-"&amp;TEXT(VALUE(RIGHT(D227,3))+1,"000")</f>
        <v>SFR-029</v>
      </c>
      <c r="E235" s="34" t="s">
        <v>85</v>
      </c>
      <c r="F235" s="35" t="str">
        <f>IFERROR(TRIM(IF(VLOOKUP($D235,'3. 요건기술서 전체'!$B:$L,10,0)&lt;&gt;"",IF(VLOOKUP($D235,'3. 요건기술서 전체'!$B:$L,10,0)="O", "한난O", IF(VLOOKUP($D235,'3. 요건기술서 전체'!$B:$L,10,0)="X", "한난X", "")),"") &amp; " " &amp;IF(VLOOKUP($D235,'3. 요건기술서 전체'!$B:$L,11,0)&lt;&gt;"",IF(VLOOKUP($D235,'3. 요건기술서 전체'!$B:$L,11,0)="O", "외부O", IF(VLOOKUP($D235,'3. 요건기술서 전체'!$B:$L,11,0)="X", "외부X", "")),"")),"")</f>
        <v>한난O 외부O</v>
      </c>
      <c r="H235" s="37" t="s">
        <v>357</v>
      </c>
    </row>
    <row r="236" spans="2:8" x14ac:dyDescent="0.3">
      <c r="B236" s="94" t="s">
        <v>43</v>
      </c>
      <c r="C236" s="95"/>
      <c r="D236" s="85" t="str">
        <f>VLOOKUP($D235,'3. 요건기술서 전체'!$B:$L,5,0)</f>
        <v>Red Tag 관리</v>
      </c>
      <c r="E236" s="86"/>
      <c r="F236" s="87"/>
      <c r="H236" s="37" t="s">
        <v>358</v>
      </c>
    </row>
    <row r="237" spans="2:8" x14ac:dyDescent="0.3">
      <c r="B237" s="98" t="s">
        <v>44</v>
      </c>
      <c r="C237" s="43" t="s">
        <v>45</v>
      </c>
      <c r="D237" s="85" t="str">
        <f>VLOOKUP($D235,'3. 요건기술서 전체'!$B:$L,7,0)</f>
        <v>Red Tag 관리</v>
      </c>
      <c r="E237" s="86"/>
      <c r="F237" s="87"/>
      <c r="H237" s="37" t="s">
        <v>358</v>
      </c>
    </row>
    <row r="238" spans="2:8" ht="178.5" x14ac:dyDescent="0.3">
      <c r="B238" s="98"/>
      <c r="C238" s="43" t="s">
        <v>46</v>
      </c>
      <c r="D238" s="85" t="str">
        <f>VLOOKUP($D235,'3. 요건기술서 전체'!$B:$L,8,0)</f>
        <v>○ Red Tag 관리
 - Red Tag 조회/발행/취소/회수 관리 기능
 - Red Tag 상태/발행일시/발행설비/조작요청내용 등의 정보 관리 기능
 - 시스템 발행 및 수기 발행 등의 구분 기능
 - 시스템 발행 시, Red Tag 설계된 오더 검색 및 Red Tag 설계 내용 조회·발행·출력
 - 수기 발행 시, 작업오더/공사오더 없이 대상 설비별 관리(필요 시, 오더에 연결 가능)
 - 수기 발행 시, 대상 설비의 설비마스터 표준 Red Tag 자동 입력 및 수정 기능
 - 다수 Red Tag에 대한 일괄 발행/취소/출력 지원
 - Red Tag 발행 대상 설비에 미회수 Red Tag 존재 시 경고
 - Red Tag 출력 시, 연계된 LOTO 번호 정보 자동 인쇄 기능
 - Red Tag  바코드 스캔/입력에 의한 상세 내역 확인 및 회수처리 기능
 - 회수 예정일 임박/지연, 장기 미회수, 중복 발행 시 담당 부서에 알림 제공 기능
 - 모바일에서 발행/출력 요청, 스캔 회수, 사진 첨부 기능 지원
 - 각 지사별 Red -Tag 발행 프린터와 연계하여 출력기능 지원</v>
      </c>
      <c r="E238" s="86"/>
      <c r="F238" s="87"/>
      <c r="H238" s="37" t="s">
        <v>793</v>
      </c>
    </row>
    <row r="239" spans="2:8" x14ac:dyDescent="0.3">
      <c r="B239" s="90" t="s">
        <v>871</v>
      </c>
      <c r="C239" s="91"/>
      <c r="D239" s="88">
        <f>VLOOKUP(D235, '3. 요건기술서 전체'!$B:$L, 9, 0)</f>
        <v>0</v>
      </c>
      <c r="E239" s="88"/>
      <c r="F239" s="89"/>
      <c r="H239" s="44">
        <v>0</v>
      </c>
    </row>
    <row r="240" spans="2:8" ht="15.75" thickBot="1" x14ac:dyDescent="0.35">
      <c r="B240" s="92" t="s">
        <v>47</v>
      </c>
      <c r="C240" s="93"/>
      <c r="D240" s="99">
        <f>VLOOKUP($D235,'3. 요건기술서 전체'!$B:$L,2,0)</f>
        <v>0</v>
      </c>
      <c r="E240" s="100"/>
      <c r="F240" s="101"/>
      <c r="H240" s="36">
        <v>0</v>
      </c>
    </row>
    <row r="241" spans="2:8" ht="15.75" thickBot="1" x14ac:dyDescent="0.35">
      <c r="H241" s="36"/>
    </row>
    <row r="242" spans="2:8" x14ac:dyDescent="0.3">
      <c r="B242" s="96" t="s">
        <v>41</v>
      </c>
      <c r="C242" s="97"/>
      <c r="D242" s="30" t="s">
        <v>53</v>
      </c>
      <c r="E242" s="31" t="s">
        <v>131</v>
      </c>
      <c r="F242" s="32" t="str">
        <f>VLOOKUP($D243,'3. 요건기술서 전체'!$B:$L,6,0)</f>
        <v>필수</v>
      </c>
      <c r="H242" s="37" t="s">
        <v>689</v>
      </c>
    </row>
    <row r="243" spans="2:8" x14ac:dyDescent="0.3">
      <c r="B243" s="94" t="s">
        <v>42</v>
      </c>
      <c r="C243" s="95"/>
      <c r="D243" s="33" t="str">
        <f>LEFT(D235,3)&amp;"-"&amp;TEXT(VALUE(RIGHT(D235,3))+1,"000")</f>
        <v>SFR-030</v>
      </c>
      <c r="E243" s="34" t="s">
        <v>85</v>
      </c>
      <c r="F243" s="35" t="str">
        <f>IFERROR(TRIM(IF(VLOOKUP($D243,'3. 요건기술서 전체'!$B:$L,10,0)&lt;&gt;"",IF(VLOOKUP($D243,'3. 요건기술서 전체'!$B:$L,10,0)="O", "한난O", IF(VLOOKUP($D243,'3. 요건기술서 전체'!$B:$L,10,0)="X", "한난X", "")),"") &amp; " " &amp;IF(VLOOKUP($D243,'3. 요건기술서 전체'!$B:$L,11,0)&lt;&gt;"",IF(VLOOKUP($D243,'3. 요건기술서 전체'!$B:$L,11,0)="O", "외부O", IF(VLOOKUP($D243,'3. 요건기술서 전체'!$B:$L,11,0)="X", "외부X", "")),"")),"")</f>
        <v/>
      </c>
      <c r="H243" s="37" t="s">
        <v>359</v>
      </c>
    </row>
    <row r="244" spans="2:8" x14ac:dyDescent="0.3">
      <c r="B244" s="94" t="s">
        <v>43</v>
      </c>
      <c r="C244" s="95"/>
      <c r="D244" s="85" t="str">
        <f>VLOOKUP($D243,'3. 요건기술서 전체'!$B:$L,5,0)</f>
        <v>예방정비관리</v>
      </c>
      <c r="E244" s="86"/>
      <c r="F244" s="87"/>
      <c r="H244" s="37" t="s">
        <v>14</v>
      </c>
    </row>
    <row r="245" spans="2:8" x14ac:dyDescent="0.3">
      <c r="B245" s="98" t="s">
        <v>44</v>
      </c>
      <c r="C245" s="43" t="s">
        <v>45</v>
      </c>
      <c r="D245" s="85" t="str">
        <f>VLOOKUP($D243,'3. 요건기술서 전체'!$B:$L,7,0)</f>
        <v>예방정비 필요 설비 조회/신규 지정, 설비별 예방정비작업 사전 설계, 일정 등록 및 작업오더 자동 발행</v>
      </c>
      <c r="E245" s="86"/>
      <c r="F245" s="87"/>
      <c r="H245" s="37" t="s">
        <v>542</v>
      </c>
    </row>
    <row r="246" spans="2:8" ht="165.75" x14ac:dyDescent="0.3">
      <c r="B246" s="98"/>
      <c r="C246" s="43" t="s">
        <v>46</v>
      </c>
      <c r="D246" s="85" t="str">
        <f>VLOOKUP($D243,'3. 요건기술서 전체'!$B:$L,8,0)</f>
        <v>○ 예방정비 관리
 - 예방정비 대상 설비 조회/신규 지정, 예방정비 작업오더 사전 설계, 일정 등록 및 작업오더 자동 발행 기능
 - 대상 설비 신규 등록 시, 동일 설비의 예방정비 작업오더 사전 설계 내역 조회 및 적용 기능 제공(AI 기술 활용 등 제안사 특화 기능 제시)
 - 자동 오더 발행 설정(예방정비 주기·오더자동생성조건·시행기준일·작업등급) 관리
 - 다수 설비 선택 후 동일 설계 내용 일괄 적용 기능
 - 기 등록 예방정비 대상 설비의 과거 정비 이력 정보 제공
 - 연도별 예방정비 시행 예정 설비리스트 자동 생성
 - 생성된 연도의 설비별 예방정비 일정 삭제/변경 가능해야 함
 - 예방정비 작업오더 자동 생성 후 담당부서/담당자 알림 기능 제공
 - 예방정비 일정표는 캘린더와 리스트로 제공, 엑셀 등 파일로 내보내기 지원
 - 예방정비 작업오더 종결 시, 작업실적 연계를 통한 정비이력 정보 제공 기능
 - 연도별 예방정비를 통한 중장기 유지보수 계획 및 실적 관리
 (CNR-002) - 과거 6개년 지사별 중장기 유지보수 계획을 DB화 하여 시스템 반영</v>
      </c>
      <c r="E246" s="86"/>
      <c r="F246" s="87"/>
      <c r="H246" s="44" t="s">
        <v>1061</v>
      </c>
    </row>
    <row r="247" spans="2:8" x14ac:dyDescent="0.3">
      <c r="B247" s="90" t="s">
        <v>871</v>
      </c>
      <c r="C247" s="91"/>
      <c r="D247" s="88">
        <f>VLOOKUP(D243, '3. 요건기술서 전체'!$B:$L, 9, 0)</f>
        <v>0</v>
      </c>
      <c r="E247" s="88"/>
      <c r="F247" s="89"/>
      <c r="H247" s="36">
        <v>0</v>
      </c>
    </row>
    <row r="248" spans="2:8" ht="15.75" thickBot="1" x14ac:dyDescent="0.35">
      <c r="B248" s="92" t="s">
        <v>47</v>
      </c>
      <c r="C248" s="93"/>
      <c r="D248" s="99">
        <f>VLOOKUP($D243,'3. 요건기술서 전체'!$B:$L,2,0)</f>
        <v>0</v>
      </c>
      <c r="E248" s="100"/>
      <c r="F248" s="101"/>
      <c r="H248" s="36">
        <v>0</v>
      </c>
    </row>
    <row r="249" spans="2:8" ht="15.75" thickBot="1" x14ac:dyDescent="0.35">
      <c r="H249" s="37"/>
    </row>
    <row r="250" spans="2:8" x14ac:dyDescent="0.3">
      <c r="B250" s="96" t="s">
        <v>41</v>
      </c>
      <c r="C250" s="97"/>
      <c r="D250" s="30" t="s">
        <v>53</v>
      </c>
      <c r="E250" s="31" t="s">
        <v>131</v>
      </c>
      <c r="F250" s="32" t="str">
        <f>VLOOKUP($D251,'3. 요건기술서 전체'!$B:$L,6,0)</f>
        <v>필수</v>
      </c>
      <c r="H250" s="37" t="s">
        <v>689</v>
      </c>
    </row>
    <row r="251" spans="2:8" x14ac:dyDescent="0.3">
      <c r="B251" s="94" t="s">
        <v>42</v>
      </c>
      <c r="C251" s="95"/>
      <c r="D251" s="33" t="str">
        <f>LEFT(D243,3)&amp;"-"&amp;TEXT(VALUE(RIGHT(D243,3))+1,"000")</f>
        <v>SFR-031</v>
      </c>
      <c r="E251" s="34" t="s">
        <v>85</v>
      </c>
      <c r="F251" s="35" t="str">
        <f>IFERROR(TRIM(IF(VLOOKUP($D251,'3. 요건기술서 전체'!$B:$L,10,0)&lt;&gt;"",IF(VLOOKUP($D251,'3. 요건기술서 전체'!$B:$L,10,0)="O", "한난O", IF(VLOOKUP($D251,'3. 요건기술서 전체'!$B:$L,10,0)="X", "한난X", "")),"") &amp; " " &amp;IF(VLOOKUP($D251,'3. 요건기술서 전체'!$B:$L,11,0)&lt;&gt;"",IF(VLOOKUP($D251,'3. 요건기술서 전체'!$B:$L,11,0)="O", "외부O", IF(VLOOKUP($D251,'3. 요건기술서 전체'!$B:$L,11,0)="X", "외부X", "")),"")),"")</f>
        <v/>
      </c>
      <c r="H251" s="37" t="s">
        <v>360</v>
      </c>
    </row>
    <row r="252" spans="2:8" x14ac:dyDescent="0.3">
      <c r="B252" s="94" t="s">
        <v>43</v>
      </c>
      <c r="C252" s="95"/>
      <c r="D252" s="85" t="str">
        <f>VLOOKUP($D251,'3. 요건기술서 전체'!$B:$L,5,0)</f>
        <v>법정검사</v>
      </c>
      <c r="E252" s="86"/>
      <c r="F252" s="87"/>
      <c r="H252" s="37" t="s">
        <v>361</v>
      </c>
    </row>
    <row r="253" spans="2:8" x14ac:dyDescent="0.3">
      <c r="B253" s="98" t="s">
        <v>44</v>
      </c>
      <c r="C253" s="43" t="s">
        <v>45</v>
      </c>
      <c r="D253" s="85" t="str">
        <f>VLOOKUP($D251,'3. 요건기술서 전체'!$B:$L,7,0)</f>
        <v>법정검사 대상 설비 조회/신규지정, 설비별 법정검사 일정 등록 및 실적 확인</v>
      </c>
      <c r="E253" s="86"/>
      <c r="F253" s="87"/>
      <c r="H253" s="44" t="s">
        <v>543</v>
      </c>
    </row>
    <row r="254" spans="2:8" ht="114.75" x14ac:dyDescent="0.3">
      <c r="B254" s="98"/>
      <c r="C254" s="43" t="s">
        <v>46</v>
      </c>
      <c r="D254" s="85" t="str">
        <f>VLOOKUP($D251,'3. 요건기술서 전체'!$B:$L,8,0)</f>
        <v>○ 법정검사 관리
 - 법정검사 대상 설비 조회/지정, 설비별 법정검사 신규등록 및 상세내용/실적, 관련 법조항 확인 기능 제공
 - 법정검사 항목별 시행/미시행 여부 선택 기능 제공
 - 법정검사 신규 입력 시, 검사주기, 검사시기, 기준일자 등록으로 검사일정 자동 생성 기능 제공
 - 법정검사 실적 조회 시, 검사 성적서, 검사결과보고서, 시정조치 확인서 등 첨부 자료 등록/조회/다운로드
 - 연도별/월별 법정검사 계획 및 실적 건수 집계/조회
 - 월별 검사 계획 리스트 조회 및 검사결과 입력 기능 제공
 - 월별 검사 실적 리스트 및 검사결과 조회 기능 제공
 - 예정일 임박, 실적 미입력, 법정 기한 만료 예정에 대한 알림 기능 제공</v>
      </c>
      <c r="E254" s="86"/>
      <c r="F254" s="87"/>
      <c r="H254" s="36" t="s">
        <v>1062</v>
      </c>
    </row>
    <row r="255" spans="2:8" x14ac:dyDescent="0.3">
      <c r="B255" s="90" t="s">
        <v>871</v>
      </c>
      <c r="C255" s="91"/>
      <c r="D255" s="88">
        <f>VLOOKUP(D251, '3. 요건기술서 전체'!$B:$L, 9, 0)</f>
        <v>0</v>
      </c>
      <c r="E255" s="88"/>
      <c r="F255" s="89"/>
      <c r="H255" s="36">
        <v>0</v>
      </c>
    </row>
    <row r="256" spans="2:8" ht="15.75" thickBot="1" x14ac:dyDescent="0.35">
      <c r="B256" s="92" t="s">
        <v>47</v>
      </c>
      <c r="C256" s="93"/>
      <c r="D256" s="99">
        <f>VLOOKUP($D251,'3. 요건기술서 전체'!$B:$L,2,0)</f>
        <v>0</v>
      </c>
      <c r="E256" s="100"/>
      <c r="F256" s="101"/>
      <c r="H256" s="37">
        <v>0</v>
      </c>
    </row>
    <row r="257" spans="2:8" ht="15.75" thickBot="1" x14ac:dyDescent="0.35">
      <c r="H257" s="37"/>
    </row>
    <row r="258" spans="2:8" x14ac:dyDescent="0.3">
      <c r="B258" s="96" t="s">
        <v>41</v>
      </c>
      <c r="C258" s="97"/>
      <c r="D258" s="30" t="s">
        <v>53</v>
      </c>
      <c r="E258" s="31" t="s">
        <v>131</v>
      </c>
      <c r="F258" s="32" t="str">
        <f>VLOOKUP($D259,'3. 요건기술서 전체'!$B:$L,6,0)</f>
        <v>필수</v>
      </c>
      <c r="H258" s="37" t="s">
        <v>689</v>
      </c>
    </row>
    <row r="259" spans="2:8" x14ac:dyDescent="0.3">
      <c r="B259" s="94" t="s">
        <v>42</v>
      </c>
      <c r="C259" s="95"/>
      <c r="D259" s="33" t="str">
        <f>LEFT(D251,3)&amp;"-"&amp;TEXT(VALUE(RIGHT(D251,3))+1,"000")</f>
        <v>SFR-032</v>
      </c>
      <c r="E259" s="34" t="s">
        <v>85</v>
      </c>
      <c r="F259" s="35" t="str">
        <f>IFERROR(TRIM(IF(VLOOKUP($D259,'3. 요건기술서 전체'!$B:$L,10,0)&lt;&gt;"",IF(VLOOKUP($D259,'3. 요건기술서 전체'!$B:$L,10,0)="O", "한난O", IF(VLOOKUP($D259,'3. 요건기술서 전체'!$B:$L,10,0)="X", "한난X", "")),"") &amp; " " &amp;IF(VLOOKUP($D259,'3. 요건기술서 전체'!$B:$L,11,0)&lt;&gt;"",IF(VLOOKUP($D259,'3. 요건기술서 전체'!$B:$L,11,0)="O", "외부O", IF(VLOOKUP($D259,'3. 요건기술서 전체'!$B:$L,11,0)="X", "외부X", "")),"")),"")</f>
        <v>한난O 외부O</v>
      </c>
      <c r="H259" s="37" t="s">
        <v>362</v>
      </c>
    </row>
    <row r="260" spans="2:8" x14ac:dyDescent="0.3">
      <c r="B260" s="94" t="s">
        <v>43</v>
      </c>
      <c r="C260" s="95"/>
      <c r="D260" s="85" t="str">
        <f>VLOOKUP($D259,'3. 요건기술서 전체'!$B:$L,5,0)</f>
        <v>예방점검관리</v>
      </c>
      <c r="E260" s="86"/>
      <c r="F260" s="87"/>
      <c r="H260" s="44" t="s">
        <v>363</v>
      </c>
    </row>
    <row r="261" spans="2:8" x14ac:dyDescent="0.3">
      <c r="B261" s="98" t="s">
        <v>44</v>
      </c>
      <c r="C261" s="43" t="s">
        <v>45</v>
      </c>
      <c r="D261" s="85" t="str">
        <f>VLOOKUP($D259,'3. 요건기술서 전체'!$B:$L,7,0)</f>
        <v>예방점검 대상 설비 등록, 점검항목·점검기준·점검일정 설계 및 예방점검 결과 등 예방점검 전과정 관리</v>
      </c>
      <c r="E261" s="86"/>
      <c r="F261" s="87"/>
      <c r="H261" s="36" t="s">
        <v>544</v>
      </c>
    </row>
    <row r="262" spans="2:8" ht="279" customHeight="1" x14ac:dyDescent="0.3">
      <c r="B262" s="98"/>
      <c r="C262" s="43" t="s">
        <v>46</v>
      </c>
      <c r="D262" s="85" t="str">
        <f>VLOOKUP($D259,'3. 요건기술서 전체'!$B:$L,8,0)</f>
        <v>○ 예방점검마스터
 - 예방점검 계획 수립 및 예방점검 등록/이력 조회 관리 기능
 - 예방점검 계획 수립 시, 예방점검 대상 설비 등록 및 점검 Check Sheet(점검항목, 점검기준)/점검주기 관리, 연간 일정 관리 가능 제공
 - 예방점검 항목별 시행/미시행 여부 선택 기능 제공
 - 예방점검 신규 입력 시, 일반정보(점검명, 점검주기, 담당부서 등) 및 대상 설비 리스트, 대상설비별 점검항목/점검 기준 등록·수정·저장 기능 제공
 - 동일 점검을 여러 설비에 일괄 추가 및 삭제 기능
○ 예방점검
 - 예방점검 일정 생성/조회 및 예방점검 결과 입력, 과거 점검 이력 조회 관리 기능
 - 예방점검 일정 생성 시, 연간 일정과 주간 계획 상호 연계
 - 예방점검마스터에서 설정한 점검주기에 따른 점검항목별 주단위(1주~52주) 연간 예방점검 일정 자동 생성
 - 예방점검마스터에서 설정한 점검 수행 요일 정보에 따른 주간 예방점검 일정 자동 생성
 - 요일별 등록된 점검 일정 목록 복사/붙여넣기 기능 지원
 - 주간 예방점검 일정표에서 점검 Check Sheet 조회/출력 및 일자별 점검결과 입력 바로가기 기능 제공
 - 점검결과 입력 시, 점검기준치 이탈에 대한 경고 알림 제공
 - 점검결과 입력 시, 점검 결과 불량 항목에 대한 작업지시서 생성 연계 기능 제공
 - 점검 결과 양호 항목에 대한 일괄 승인 요청 기능
 - 모바일에서 QR/바코드 스캔 기반 예방점검 일정 조회, 체크리스트 조회, 점검 결과 입력, 사진 첨부 기능 지원
 - 점검 이력 조회 시, 설비별/점검항목별 상세 결과 및 추이 그래프 제공
 - 일정 자동 생성 시 '공사 휴무일 및 대보수 기간 자동 회피' 로직과, 부서별 '주간 최대 점검 가능 건수(Capa)'를 설정하여 일정을 평탄화(Leveling)하는 알고리즘을 제안해야 함.
 - 예방점검 결과 입력 시, 'GPS 위치 및 QR 인증' 을 통해 실제 설비 근처에 있어야만 '완료' 버튼이 활성화되는 기능을 도입하여 허위 점검 원천 차단</v>
      </c>
      <c r="E262" s="86"/>
      <c r="F262" s="87"/>
      <c r="H262" s="36" t="s">
        <v>1063</v>
      </c>
    </row>
    <row r="263" spans="2:8" x14ac:dyDescent="0.3">
      <c r="B263" s="90" t="s">
        <v>871</v>
      </c>
      <c r="C263" s="91"/>
      <c r="D263" s="88">
        <f>VLOOKUP(D259, '3. 요건기술서 전체'!$B:$L, 9, 0)</f>
        <v>0</v>
      </c>
      <c r="E263" s="88"/>
      <c r="F263" s="89"/>
      <c r="H263" s="37">
        <v>0</v>
      </c>
    </row>
    <row r="264" spans="2:8" ht="15.75" thickBot="1" x14ac:dyDescent="0.35">
      <c r="B264" s="92" t="s">
        <v>47</v>
      </c>
      <c r="C264" s="93"/>
      <c r="D264" s="99">
        <f>VLOOKUP($D259,'3. 요건기술서 전체'!$B:$L,2,0)</f>
        <v>0</v>
      </c>
      <c r="E264" s="100"/>
      <c r="F264" s="101"/>
      <c r="H264" s="37">
        <v>0</v>
      </c>
    </row>
    <row r="265" spans="2:8" ht="15.75" thickBot="1" x14ac:dyDescent="0.35">
      <c r="H265" s="37"/>
    </row>
    <row r="266" spans="2:8" x14ac:dyDescent="0.3">
      <c r="B266" s="96" t="s">
        <v>41</v>
      </c>
      <c r="C266" s="97"/>
      <c r="D266" s="30" t="s">
        <v>53</v>
      </c>
      <c r="E266" s="31" t="s">
        <v>131</v>
      </c>
      <c r="F266" s="32" t="str">
        <f>VLOOKUP($D267,'3. 요건기술서 전체'!$B:$L,6,0)</f>
        <v>필수</v>
      </c>
      <c r="H266" s="37" t="s">
        <v>689</v>
      </c>
    </row>
    <row r="267" spans="2:8" x14ac:dyDescent="0.3">
      <c r="B267" s="94" t="s">
        <v>42</v>
      </c>
      <c r="C267" s="95"/>
      <c r="D267" s="33" t="str">
        <f>LEFT(D259,3)&amp;"-"&amp;TEXT(VALUE(RIGHT(D259,3))+1,"000")</f>
        <v>SFR-033</v>
      </c>
      <c r="E267" s="34" t="s">
        <v>85</v>
      </c>
      <c r="F267" s="35" t="str">
        <f>IFERROR(TRIM(IF(VLOOKUP($D267,'3. 요건기술서 전체'!$B:$L,10,0)&lt;&gt;"",IF(VLOOKUP($D267,'3. 요건기술서 전체'!$B:$L,10,0)="O", "한난O", IF(VLOOKUP($D267,'3. 요건기술서 전체'!$B:$L,10,0)="X", "한난X", "")),"") &amp; " " &amp;IF(VLOOKUP($D267,'3. 요건기술서 전체'!$B:$L,11,0)&lt;&gt;"",IF(VLOOKUP($D267,'3. 요건기술서 전체'!$B:$L,11,0)="O", "외부O", IF(VLOOKUP($D267,'3. 요건기술서 전체'!$B:$L,11,0)="X", "외부X", "")),"")),"")</f>
        <v/>
      </c>
      <c r="H267" s="44" t="s">
        <v>364</v>
      </c>
    </row>
    <row r="268" spans="2:8" x14ac:dyDescent="0.3">
      <c r="B268" s="94" t="s">
        <v>43</v>
      </c>
      <c r="C268" s="95"/>
      <c r="D268" s="85" t="str">
        <f>VLOOKUP($D267,'3. 요건기술서 전체'!$B:$L,5,0)</f>
        <v>작업 통계</v>
      </c>
      <c r="E268" s="86"/>
      <c r="F268" s="87"/>
      <c r="H268" s="36" t="s">
        <v>365</v>
      </c>
    </row>
    <row r="269" spans="2:8" x14ac:dyDescent="0.3">
      <c r="B269" s="98" t="s">
        <v>44</v>
      </c>
      <c r="C269" s="43" t="s">
        <v>45</v>
      </c>
      <c r="D269" s="85" t="str">
        <f>VLOOKUP($D267,'3. 요건기술서 전체'!$B:$L,7,0)</f>
        <v>경상정비, 공사, Red Tag, 예방점검 현황 및 운영상태 파악을 위한 작업 통계 제시</v>
      </c>
      <c r="E269" s="86"/>
      <c r="F269" s="87"/>
      <c r="H269" s="36" t="s">
        <v>545</v>
      </c>
    </row>
    <row r="270" spans="2:8" ht="89.25" x14ac:dyDescent="0.3">
      <c r="B270" s="98"/>
      <c r="C270" s="43" t="s">
        <v>46</v>
      </c>
      <c r="D270" s="85" t="str">
        <f>VLOOKUP($D267,'3. 요건기술서 전체'!$B:$L,8,0)</f>
        <v>○ 작업통계 관리
 - 카테고리(작업, 공사, Red Tag, 예방점검)별 주요 지표 통계 조회·집계·분석 기능
 - 기간, 지사, 사업장, 설비군, 설비, 담당부서 등의 조건에 대한 다중 필터 조회·집계 기능
 - 주요 지표별 통계 데이터를 테이블 및 그래프로 제시 기능 제공
 - 주요 지표에 대한 정의, 산식 정보 표시(툴팁, 안내문 등) 기능
 - 주요 통계 지표별 전년동기/전월 대비 및 목표 대비 증감율 제공
 - 통계 수치 단위 변환(원/천원/백만원, 시간/일 등) 지원</v>
      </c>
      <c r="E270" s="86"/>
      <c r="F270" s="87"/>
      <c r="H270" s="37" t="s">
        <v>1064</v>
      </c>
    </row>
    <row r="271" spans="2:8" x14ac:dyDescent="0.3">
      <c r="B271" s="90" t="s">
        <v>871</v>
      </c>
      <c r="C271" s="91"/>
      <c r="D271" s="88">
        <f>VLOOKUP(D267, '3. 요건기술서 전체'!$B:$L, 9, 0)</f>
        <v>0</v>
      </c>
      <c r="E271" s="88"/>
      <c r="F271" s="89"/>
      <c r="H271" s="37">
        <v>0</v>
      </c>
    </row>
    <row r="272" spans="2:8" ht="15.75" thickBot="1" x14ac:dyDescent="0.35">
      <c r="B272" s="92" t="s">
        <v>47</v>
      </c>
      <c r="C272" s="93"/>
      <c r="D272" s="99">
        <f>VLOOKUP($D267,'3. 요건기술서 전체'!$B:$L,2,0)</f>
        <v>0</v>
      </c>
      <c r="E272" s="100"/>
      <c r="F272" s="101"/>
      <c r="H272" s="37">
        <v>0</v>
      </c>
    </row>
    <row r="273" spans="2:8" ht="15.75" thickBot="1" x14ac:dyDescent="0.35">
      <c r="H273" s="37"/>
    </row>
    <row r="274" spans="2:8" x14ac:dyDescent="0.3">
      <c r="B274" s="96" t="s">
        <v>41</v>
      </c>
      <c r="C274" s="97"/>
      <c r="D274" s="30" t="s">
        <v>53</v>
      </c>
      <c r="E274" s="31" t="s">
        <v>131</v>
      </c>
      <c r="F274" s="32" t="str">
        <f>VLOOKUP($D275,'3. 요건기술서 전체'!$B:$L,6,0)</f>
        <v>필수</v>
      </c>
      <c r="H274" s="44" t="s">
        <v>689</v>
      </c>
    </row>
    <row r="275" spans="2:8" x14ac:dyDescent="0.3">
      <c r="B275" s="94" t="s">
        <v>42</v>
      </c>
      <c r="C275" s="95"/>
      <c r="D275" s="33" t="str">
        <f>LEFT(D267,3)&amp;"-"&amp;TEXT(VALUE(RIGHT(D267,3))+1,"000")</f>
        <v>SFR-034</v>
      </c>
      <c r="E275" s="34" t="s">
        <v>85</v>
      </c>
      <c r="F275" s="35" t="str">
        <f>IFERROR(TRIM(IF(VLOOKUP($D275,'3. 요건기술서 전체'!$B:$L,10,0)&lt;&gt;"",IF(VLOOKUP($D275,'3. 요건기술서 전체'!$B:$L,10,0)="O", "한난O", IF(VLOOKUP($D275,'3. 요건기술서 전체'!$B:$L,10,0)="X", "한난X", "")),"") &amp; " " &amp;IF(VLOOKUP($D275,'3. 요건기술서 전체'!$B:$L,11,0)&lt;&gt;"",IF(VLOOKUP($D275,'3. 요건기술서 전체'!$B:$L,11,0)="O", "외부O", IF(VLOOKUP($D275,'3. 요건기술서 전체'!$B:$L,11,0)="X", "외부X", "")),"")),"")</f>
        <v>한난O 외부O</v>
      </c>
      <c r="H275" s="36" t="s">
        <v>366</v>
      </c>
    </row>
    <row r="276" spans="2:8" x14ac:dyDescent="0.3">
      <c r="B276" s="94" t="s">
        <v>43</v>
      </c>
      <c r="C276" s="95"/>
      <c r="D276" s="85" t="str">
        <f>VLOOKUP($D275,'3. 요건기술서 전체'!$B:$L,5,0)</f>
        <v>고장속보 (상보)</v>
      </c>
      <c r="E276" s="86"/>
      <c r="F276" s="87"/>
      <c r="H276" s="36" t="s">
        <v>1118</v>
      </c>
    </row>
    <row r="277" spans="2:8" x14ac:dyDescent="0.3">
      <c r="B277" s="98" t="s">
        <v>44</v>
      </c>
      <c r="C277" s="43" t="s">
        <v>45</v>
      </c>
      <c r="D277" s="85" t="str">
        <f>VLOOKUP($D275,'3. 요건기술서 전체'!$B:$L,7,0)</f>
        <v>고장속보(상보)의 등록/수정/조회</v>
      </c>
      <c r="E277" s="86"/>
      <c r="F277" s="87"/>
      <c r="H277" s="37" t="s">
        <v>1120</v>
      </c>
    </row>
    <row r="278" spans="2:8" ht="229.5" x14ac:dyDescent="0.3">
      <c r="B278" s="98"/>
      <c r="C278" s="43" t="s">
        <v>46</v>
      </c>
      <c r="D278" s="85" t="str">
        <f>VLOOKUP($D275,'3. 요건기술서 전체'!$B:$L,8,0)</f>
        <v>○ 고장속보 관리
 - 고장속보 조회 및 등록 기능
 - 전 지사 고장속보 목록 확인 및 고장속보 상세 내역 확인 기능
 - 모바일에서 고장속보 조회 및 신규 작성 지원
 - TM 및 작업오더 발행 기능 제공
 - 사진·관련문서 첨부, 미리보기 및 다운로드 지원
 - 신규 등록 및 중요사항 변경(상태, 피해규모 등) 시 담당부서(담당자) 알람 제공
 - 시간 입력 오류(발생시간 -작업개시시간 -종료시간) 등 자동 검증 기능 제공
(CNR-004) - 설비별 고장상보 대응 긴급작업 내역 표준화 및 DB화 용역 포함
○ 고장상보 관리
 - 고장상보 조회 및 등록 기능
 - 전 지사 고장상보 목록 확인 및 고장상보 상세 내역 확인 기능
 - 모바일에서 고장상보 조회 지원
 - 고장속보 연계를 통한 데이터 자동 입력 기능 제공
 - 고장상보 작성 시, 고장원인담당자 및 고장원인책임자 복수 지정 기능
 - 신규 등록 및 중요사항 변경(상태, 피해규모 등) 시 담당부서(담당자) 알람 제공
 - 시간 입력 오류(발생시간 -작업개시시간 -종료시간) 등 자동 검증 기능 제공
(CNR-004) - 설비별 고장상보 대응 긴급작업 내역 표준화 및 DB화 용역 포함</v>
      </c>
      <c r="E278" s="86"/>
      <c r="F278" s="87"/>
      <c r="H278" s="37" t="s">
        <v>1130</v>
      </c>
    </row>
    <row r="279" spans="2:8" x14ac:dyDescent="0.3">
      <c r="B279" s="90" t="s">
        <v>871</v>
      </c>
      <c r="C279" s="91"/>
      <c r="D279" s="88">
        <f>VLOOKUP(D275, '3. 요건기술서 전체'!$B:$L, 9, 0)</f>
        <v>0</v>
      </c>
      <c r="E279" s="88"/>
      <c r="F279" s="89"/>
      <c r="H279" s="37">
        <v>0</v>
      </c>
    </row>
    <row r="280" spans="2:8" ht="15.75" thickBot="1" x14ac:dyDescent="0.35">
      <c r="B280" s="92" t="s">
        <v>47</v>
      </c>
      <c r="C280" s="93"/>
      <c r="D280" s="99">
        <f>VLOOKUP($D275,'3. 요건기술서 전체'!$B:$L,2,0)</f>
        <v>0</v>
      </c>
      <c r="E280" s="100"/>
      <c r="F280" s="101"/>
      <c r="H280" s="37">
        <v>0</v>
      </c>
    </row>
    <row r="281" spans="2:8" ht="15.75" thickBot="1" x14ac:dyDescent="0.35"/>
    <row r="282" spans="2:8" x14ac:dyDescent="0.3">
      <c r="B282" s="96" t="s">
        <v>41</v>
      </c>
      <c r="C282" s="97"/>
      <c r="D282" s="30" t="s">
        <v>53</v>
      </c>
      <c r="E282" s="31" t="s">
        <v>131</v>
      </c>
      <c r="F282" s="32" t="str">
        <f>VLOOKUP($D283,'3. 요건기술서 전체'!$B:$L,6,0)</f>
        <v>필수</v>
      </c>
      <c r="H282" s="36" t="s">
        <v>689</v>
      </c>
    </row>
    <row r="283" spans="2:8" x14ac:dyDescent="0.3">
      <c r="B283" s="94" t="s">
        <v>42</v>
      </c>
      <c r="C283" s="95"/>
      <c r="D283" s="33" t="str">
        <f>LEFT(D275,3)&amp;"-"&amp;TEXT(VALUE(RIGHT(D275,3))+1,"000")</f>
        <v>SFR-035</v>
      </c>
      <c r="E283" s="34" t="s">
        <v>85</v>
      </c>
      <c r="F283" s="35" t="str">
        <f>IFERROR(TRIM(IF(VLOOKUP($D283,'3. 요건기술서 전체'!$B:$L,10,0)&lt;&gt;"",IF(VLOOKUP($D283,'3. 요건기술서 전체'!$B:$L,10,0)="O", "한난O", IF(VLOOKUP($D283,'3. 요건기술서 전체'!$B:$L,10,0)="X", "한난X", "")),"") &amp; " " &amp;IF(VLOOKUP($D283,'3. 요건기술서 전체'!$B:$L,11,0)&lt;&gt;"",IF(VLOOKUP($D283,'3. 요건기술서 전체'!$B:$L,11,0)="O", "외부O", IF(VLOOKUP($D283,'3. 요건기술서 전체'!$B:$L,11,0)="X", "외부X", "")),"")),"")</f>
        <v>한난O 외부X</v>
      </c>
      <c r="H283" s="36" t="s">
        <v>368</v>
      </c>
    </row>
    <row r="284" spans="2:8" x14ac:dyDescent="0.3">
      <c r="B284" s="94" t="s">
        <v>43</v>
      </c>
      <c r="C284" s="95"/>
      <c r="D284" s="85" t="str">
        <f>VLOOKUP($D283,'3. 요건기술서 전체'!$B:$L,5,0)</f>
        <v xml:space="preserve">계획 예방 정비 (결과) </v>
      </c>
      <c r="E284" s="86"/>
      <c r="F284" s="87"/>
      <c r="H284" s="37" t="s">
        <v>1125</v>
      </c>
    </row>
    <row r="285" spans="2:8" x14ac:dyDescent="0.3">
      <c r="B285" s="98" t="s">
        <v>44</v>
      </c>
      <c r="C285" s="43" t="s">
        <v>45</v>
      </c>
      <c r="D285" s="85" t="str">
        <f>VLOOKUP($D283,'3. 요건기술서 전체'!$B:$L,7,0)</f>
        <v>계획 예방 정비 (결과)  보고 의 등록/수정/조회</v>
      </c>
      <c r="E285" s="86"/>
      <c r="F285" s="87"/>
      <c r="H285" s="37" t="s">
        <v>1122</v>
      </c>
    </row>
    <row r="286" spans="2:8" ht="102" x14ac:dyDescent="0.3">
      <c r="B286" s="98"/>
      <c r="C286" s="43" t="s">
        <v>46</v>
      </c>
      <c r="D286" s="85" t="str">
        <f>VLOOKUP($D283,'3. 요건기술서 전체'!$B:$L,8,0)</f>
        <v>○ 계획 예방 정비(결과) 관리
 - 계획 예방 정비(결과) 조회 및 등록 기능
 - 전 지사 계획 예방 정비(결과)  목록 확인 및 계획 예방 정비(결과)  상세 내역 확인 기능
 - 모바일에서 조회 및 신규 작성 지원
 - TM 및 작업오더 발행시 매핑 기능 제공
 - 사진·관련문서 첨부, 미리보기 및 다운로드 지원
 - 신규 등록 및 중요사항 변경(상태, 피해규모 등) 시 담당부서(담당자) 알람 제공
 - 시간 입력 오류(발생시간 -작업개시시간 -종료시간) 등 자동 검증 기능 제공</v>
      </c>
      <c r="E286" s="86"/>
      <c r="F286" s="87"/>
      <c r="H286" s="37" t="s">
        <v>1131</v>
      </c>
    </row>
    <row r="287" spans="2:8" x14ac:dyDescent="0.3">
      <c r="B287" s="90" t="s">
        <v>871</v>
      </c>
      <c r="C287" s="91"/>
      <c r="D287" s="88">
        <f>VLOOKUP(D283, '3. 요건기술서 전체'!$B:$L, 9, 0)</f>
        <v>0</v>
      </c>
      <c r="E287" s="88"/>
      <c r="F287" s="89"/>
      <c r="H287" s="37">
        <v>0</v>
      </c>
    </row>
    <row r="288" spans="2:8" ht="15.75" thickBot="1" x14ac:dyDescent="0.35">
      <c r="B288" s="92" t="s">
        <v>47</v>
      </c>
      <c r="C288" s="93"/>
      <c r="D288" s="99">
        <f>VLOOKUP($D283,'3. 요건기술서 전체'!$B:$L,2,0)</f>
        <v>0</v>
      </c>
      <c r="E288" s="100"/>
      <c r="F288" s="101"/>
      <c r="H288" s="44">
        <v>0</v>
      </c>
    </row>
    <row r="289" spans="2:8" ht="15.75" thickBot="1" x14ac:dyDescent="0.35">
      <c r="H289" s="36"/>
    </row>
    <row r="290" spans="2:8" x14ac:dyDescent="0.3">
      <c r="B290" s="96" t="s">
        <v>41</v>
      </c>
      <c r="C290" s="97"/>
      <c r="D290" s="30" t="s">
        <v>53</v>
      </c>
      <c r="E290" s="31" t="s">
        <v>131</v>
      </c>
      <c r="F290" s="32" t="str">
        <f>VLOOKUP($D291,'3. 요건기술서 전체'!$B:$L,6,0)</f>
        <v>필수</v>
      </c>
      <c r="H290" s="36" t="s">
        <v>689</v>
      </c>
    </row>
    <row r="291" spans="2:8" x14ac:dyDescent="0.3">
      <c r="B291" s="94" t="s">
        <v>42</v>
      </c>
      <c r="C291" s="95"/>
      <c r="D291" s="33" t="str">
        <f>LEFT(D283,3)&amp;"-"&amp;TEXT(VALUE(RIGHT(D283,3))+1,"000")</f>
        <v>SFR-036</v>
      </c>
      <c r="E291" s="34" t="s">
        <v>85</v>
      </c>
      <c r="F291" s="35" t="str">
        <f>IFERROR(TRIM(IF(VLOOKUP($D291,'3. 요건기술서 전체'!$B:$L,10,0)&lt;&gt;"",IF(VLOOKUP($D291,'3. 요건기술서 전체'!$B:$L,10,0)="O", "한난O", IF(VLOOKUP($D291,'3. 요건기술서 전체'!$B:$L,10,0)="X", "한난X", "")),"") &amp; " " &amp;IF(VLOOKUP($D291,'3. 요건기술서 전체'!$B:$L,11,0)&lt;&gt;"",IF(VLOOKUP($D291,'3. 요건기술서 전체'!$B:$L,11,0)="O", "외부O", IF(VLOOKUP($D291,'3. 요건기술서 전체'!$B:$L,11,0)="X", "외부X", "")),"")),"")</f>
        <v/>
      </c>
      <c r="H291" s="37" t="s">
        <v>369</v>
      </c>
    </row>
    <row r="292" spans="2:8" x14ac:dyDescent="0.3">
      <c r="B292" s="94" t="s">
        <v>43</v>
      </c>
      <c r="C292" s="95"/>
      <c r="D292" s="85" t="str">
        <f>VLOOKUP($D291,'3. 요건기술서 전체'!$B:$L,5,0)</f>
        <v>고장 통계</v>
      </c>
      <c r="E292" s="86"/>
      <c r="F292" s="87"/>
      <c r="H292" s="37" t="s">
        <v>370</v>
      </c>
    </row>
    <row r="293" spans="2:8" x14ac:dyDescent="0.3">
      <c r="B293" s="98" t="s">
        <v>44</v>
      </c>
      <c r="C293" s="43" t="s">
        <v>45</v>
      </c>
      <c r="D293" s="85" t="str">
        <f>VLOOKUP($D291,'3. 요건기술서 전체'!$B:$L,7,0)</f>
        <v>다양한 기준에 따른 고장통계의 조회·집계·분석</v>
      </c>
      <c r="E293" s="86"/>
      <c r="F293" s="87"/>
      <c r="H293" s="37" t="s">
        <v>546</v>
      </c>
    </row>
    <row r="294" spans="2:8" ht="63.75" x14ac:dyDescent="0.3">
      <c r="B294" s="98"/>
      <c r="C294" s="43" t="s">
        <v>46</v>
      </c>
      <c r="D294" s="85" t="str">
        <f>VLOOKUP($D291,'3. 요건기술서 전체'!$B:$L,8,0)</f>
        <v>○ 고장통계 관리
 - 기간, 지사, 설비, 고장유형/고장모드, 고장원인, 중요도, 정비전략 등 조건에 따른 고장통계(표, 그래프 동시 제공)기능
 - 지표에 대한 정의, 산식 정보 표시(툴팁, 안내문 등) 기능
 - 주요 통계 지표별 전년동기/전월 대비 및 목표 대비 증감율 제공
 - 모든 차트/표는 엑셀 등 문서로 다운로드 및 출력 기능 제공</v>
      </c>
      <c r="E294" s="86"/>
      <c r="F294" s="87"/>
      <c r="H294" s="37" t="s">
        <v>1065</v>
      </c>
    </row>
    <row r="295" spans="2:8" x14ac:dyDescent="0.3">
      <c r="B295" s="90" t="s">
        <v>871</v>
      </c>
      <c r="C295" s="91"/>
      <c r="D295" s="88">
        <f>VLOOKUP(D291, '3. 요건기술서 전체'!$B:$L, 9, 0)</f>
        <v>0</v>
      </c>
      <c r="E295" s="88"/>
      <c r="F295" s="89"/>
      <c r="H295" s="44">
        <v>0</v>
      </c>
    </row>
    <row r="296" spans="2:8" ht="15.75" thickBot="1" x14ac:dyDescent="0.35">
      <c r="B296" s="92" t="s">
        <v>47</v>
      </c>
      <c r="C296" s="93"/>
      <c r="D296" s="99">
        <f>VLOOKUP($D291,'3. 요건기술서 전체'!$B:$L,2,0)</f>
        <v>0</v>
      </c>
      <c r="E296" s="100"/>
      <c r="F296" s="101"/>
      <c r="H296" s="36">
        <v>0</v>
      </c>
    </row>
    <row r="297" spans="2:8" ht="15.75" thickBot="1" x14ac:dyDescent="0.35">
      <c r="H297" s="36"/>
    </row>
    <row r="298" spans="2:8" x14ac:dyDescent="0.3">
      <c r="B298" s="96" t="s">
        <v>41</v>
      </c>
      <c r="C298" s="97"/>
      <c r="D298" s="30" t="s">
        <v>53</v>
      </c>
      <c r="E298" s="31" t="s">
        <v>131</v>
      </c>
      <c r="F298" s="32" t="str">
        <f>VLOOKUP($D299,'3. 요건기술서 전체'!$B:$L,6,0)</f>
        <v>필수</v>
      </c>
      <c r="H298" s="37" t="s">
        <v>689</v>
      </c>
    </row>
    <row r="299" spans="2:8" x14ac:dyDescent="0.3">
      <c r="B299" s="94" t="s">
        <v>42</v>
      </c>
      <c r="C299" s="95"/>
      <c r="D299" s="33" t="str">
        <f>LEFT(D291,3)&amp;"-"&amp;TEXT(VALUE(RIGHT(D291,3))+1,"000")</f>
        <v>SFR-037</v>
      </c>
      <c r="E299" s="34" t="s">
        <v>85</v>
      </c>
      <c r="F299" s="35" t="str">
        <f>IFERROR(TRIM(IF(VLOOKUP($D299,'3. 요건기술서 전체'!$B:$L,10,0)&lt;&gt;"",IF(VLOOKUP($D299,'3. 요건기술서 전체'!$B:$L,10,0)="O", "한난O", IF(VLOOKUP($D299,'3. 요건기술서 전체'!$B:$L,10,0)="X", "한난X", "")),"") &amp; " " &amp;IF(VLOOKUP($D299,'3. 요건기술서 전체'!$B:$L,11,0)&lt;&gt;"",IF(VLOOKUP($D299,'3. 요건기술서 전체'!$B:$L,11,0)="O", "외부O", IF(VLOOKUP($D299,'3. 요건기술서 전체'!$B:$L,11,0)="X", "외부X", "")),"")),"")</f>
        <v>한난O 외부O</v>
      </c>
      <c r="H299" s="37" t="s">
        <v>371</v>
      </c>
    </row>
    <row r="300" spans="2:8" x14ac:dyDescent="0.3">
      <c r="B300" s="94" t="s">
        <v>43</v>
      </c>
      <c r="C300" s="95"/>
      <c r="D300" s="85" t="str">
        <f>VLOOKUP($D299,'3. 요건기술서 전체'!$B:$L,5,0)</f>
        <v>TM목록/발행</v>
      </c>
      <c r="E300" s="86"/>
      <c r="F300" s="87"/>
      <c r="H300" s="37" t="s">
        <v>372</v>
      </c>
    </row>
    <row r="301" spans="2:8" x14ac:dyDescent="0.3">
      <c r="B301" s="98" t="s">
        <v>44</v>
      </c>
      <c r="C301" s="43" t="s">
        <v>45</v>
      </c>
      <c r="D301" s="85" t="str">
        <f>VLOOKUP($D299,'3. 요건기술서 전체'!$B:$L,7,0)</f>
        <v>TM 조회 및 발행</v>
      </c>
      <c r="E301" s="86"/>
      <c r="F301" s="87"/>
      <c r="H301" s="37" t="s">
        <v>547</v>
      </c>
    </row>
    <row r="302" spans="2:8" ht="114.75" x14ac:dyDescent="0.3">
      <c r="B302" s="98"/>
      <c r="C302" s="43" t="s">
        <v>46</v>
      </c>
      <c r="D302" s="85" t="str">
        <f>VLOOKUP($D299,'3. 요건기술서 전체'!$B:$L,8,0)</f>
        <v>○ TM 관리
 - TM 기본정보 및 상세정보(작업등급, 고장증상, TM 내용, 조치내용 등) 조회/관리 기능
 - 진행상태, 발행일자, 설비마스터, 고장코드 등 다중 필터 검색 기능
 - TM과 연계된 작업오더 조회 기능
 - TM 승인 건에 대한 작업오더 생성 기능
 - 현장에서 QR코드(또는 작업구역 QR북) 스캔을 통한 모바일 TM 발행 기능
 - 다수의 설비에 대한 TM 일괄 발행 기능
 - TM 발행 시, 선택 설비에 대한 고장정보 연계 및 자동 입력 기능
 - TM과 동일/유사 내용의 작업오더/고장속보(TM 미연결된) 기발행 여부 검색 및 연계 기능</v>
      </c>
      <c r="E302" s="86"/>
      <c r="F302" s="87"/>
      <c r="H302" s="44" t="s">
        <v>1066</v>
      </c>
    </row>
    <row r="303" spans="2:8" x14ac:dyDescent="0.3">
      <c r="B303" s="90" t="s">
        <v>871</v>
      </c>
      <c r="C303" s="91"/>
      <c r="D303" s="88">
        <f>VLOOKUP(D299, '3. 요건기술서 전체'!$B:$L, 9, 0)</f>
        <v>0</v>
      </c>
      <c r="E303" s="88"/>
      <c r="F303" s="89"/>
      <c r="H303" s="36">
        <v>0</v>
      </c>
    </row>
    <row r="304" spans="2:8" ht="15.75" thickBot="1" x14ac:dyDescent="0.35">
      <c r="B304" s="92" t="s">
        <v>47</v>
      </c>
      <c r="C304" s="93"/>
      <c r="D304" s="99">
        <f>VLOOKUP($D299,'3. 요건기술서 전체'!$B:$L,2,0)</f>
        <v>0</v>
      </c>
      <c r="E304" s="100"/>
      <c r="F304" s="101"/>
      <c r="H304" s="36">
        <v>0</v>
      </c>
    </row>
    <row r="305" spans="2:8" ht="15.75" thickBot="1" x14ac:dyDescent="0.35">
      <c r="H305" s="37"/>
    </row>
    <row r="306" spans="2:8" x14ac:dyDescent="0.3">
      <c r="B306" s="96" t="s">
        <v>41</v>
      </c>
      <c r="C306" s="97"/>
      <c r="D306" s="30" t="s">
        <v>53</v>
      </c>
      <c r="E306" s="31" t="s">
        <v>131</v>
      </c>
      <c r="F306" s="32" t="str">
        <f>VLOOKUP($D307,'3. 요건기술서 전체'!$B:$L,6,0)</f>
        <v>필수</v>
      </c>
      <c r="H306" s="37" t="s">
        <v>689</v>
      </c>
    </row>
    <row r="307" spans="2:8" x14ac:dyDescent="0.3">
      <c r="B307" s="94" t="s">
        <v>42</v>
      </c>
      <c r="C307" s="95"/>
      <c r="D307" s="33" t="str">
        <f>LEFT(D299,3)&amp;"-"&amp;TEXT(VALUE(RIGHT(D299,3))+1,"000")</f>
        <v>SFR-038</v>
      </c>
      <c r="E307" s="34" t="s">
        <v>85</v>
      </c>
      <c r="F307" s="35" t="str">
        <f>IFERROR(TRIM(IF(VLOOKUP($D307,'3. 요건기술서 전체'!$B:$L,10,0)&lt;&gt;"",IF(VLOOKUP($D307,'3. 요건기술서 전체'!$B:$L,10,0)="O", "한난O", IF(VLOOKUP($D307,'3. 요건기술서 전체'!$B:$L,10,0)="X", "한난X", "")),"") &amp; " " &amp;IF(VLOOKUP($D307,'3. 요건기술서 전체'!$B:$L,11,0)&lt;&gt;"",IF(VLOOKUP($D307,'3. 요건기술서 전체'!$B:$L,11,0)="O", "외부O", IF(VLOOKUP($D307,'3. 요건기술서 전체'!$B:$L,11,0)="X", "외부X", "")),"")),"")</f>
        <v/>
      </c>
      <c r="H307" s="37" t="s">
        <v>373</v>
      </c>
    </row>
    <row r="308" spans="2:8" x14ac:dyDescent="0.3">
      <c r="B308" s="94" t="s">
        <v>43</v>
      </c>
      <c r="C308" s="95"/>
      <c r="D308" s="85" t="str">
        <f>VLOOKUP($D307,'3. 요건기술서 전체'!$B:$L,5,0)</f>
        <v>TM 통계</v>
      </c>
      <c r="E308" s="86"/>
      <c r="F308" s="87"/>
      <c r="H308" s="37" t="s">
        <v>374</v>
      </c>
    </row>
    <row r="309" spans="2:8" x14ac:dyDescent="0.3">
      <c r="B309" s="98" t="s">
        <v>44</v>
      </c>
      <c r="C309" s="43" t="s">
        <v>45</v>
      </c>
      <c r="D309" s="85" t="str">
        <f>VLOOKUP($D307,'3. 요건기술서 전체'!$B:$L,7,0)</f>
        <v>TM 통계</v>
      </c>
      <c r="E309" s="86"/>
      <c r="F309" s="87"/>
      <c r="H309" s="44" t="s">
        <v>374</v>
      </c>
    </row>
    <row r="310" spans="2:8" ht="63.75" x14ac:dyDescent="0.3">
      <c r="B310" s="98"/>
      <c r="C310" s="43" t="s">
        <v>46</v>
      </c>
      <c r="D310" s="85" t="str">
        <f>VLOOKUP($D307,'3. 요건기술서 전체'!$B:$L,8,0)</f>
        <v>○ TM통계 관리
 - 발행/완료 TM에 대한 기간, 지사, 발행부서, 설비, 고장증상 등 조건에 따른 통계(표, 그래프 동시 제공) 기능
 - 특정 기간 동안의 TM 접수/진행/완료/미결 등 상태별 건수 및 추이, 진행상태별 비율 제공
 - 특정 기간동안의 설비유형별/설비별 TM 발행 건수 및 추이 결과 제공
 - 특정 기간동안의 고장유형별/고장원인별 TM 발행 건수 및 추이 결과 제공</v>
      </c>
      <c r="E310" s="86"/>
      <c r="F310" s="87"/>
      <c r="H310" s="36" t="s">
        <v>794</v>
      </c>
    </row>
    <row r="311" spans="2:8" x14ac:dyDescent="0.3">
      <c r="B311" s="90" t="s">
        <v>871</v>
      </c>
      <c r="C311" s="91"/>
      <c r="D311" s="88">
        <f>VLOOKUP(D307, '3. 요건기술서 전체'!$B:$L, 9, 0)</f>
        <v>0</v>
      </c>
      <c r="E311" s="88"/>
      <c r="F311" s="89"/>
      <c r="H311" s="36">
        <v>0</v>
      </c>
    </row>
    <row r="312" spans="2:8" ht="15.75" thickBot="1" x14ac:dyDescent="0.35">
      <c r="B312" s="92" t="s">
        <v>47</v>
      </c>
      <c r="C312" s="93"/>
      <c r="D312" s="99">
        <f>VLOOKUP($D307,'3. 요건기술서 전체'!$B:$L,2,0)</f>
        <v>0</v>
      </c>
      <c r="E312" s="100"/>
      <c r="F312" s="101"/>
      <c r="H312" s="37">
        <v>0</v>
      </c>
    </row>
    <row r="313" spans="2:8" ht="15.75" thickBot="1" x14ac:dyDescent="0.35">
      <c r="H313" s="37"/>
    </row>
    <row r="314" spans="2:8" x14ac:dyDescent="0.3">
      <c r="B314" s="96" t="s">
        <v>41</v>
      </c>
      <c r="C314" s="97"/>
      <c r="D314" s="30" t="s">
        <v>53</v>
      </c>
      <c r="E314" s="31" t="s">
        <v>131</v>
      </c>
      <c r="F314" s="32" t="str">
        <f>VLOOKUP($D315,'3. 요건기술서 전체'!$B:$L,6,0)</f>
        <v>필수</v>
      </c>
      <c r="H314" s="37" t="s">
        <v>689</v>
      </c>
    </row>
    <row r="315" spans="2:8" x14ac:dyDescent="0.3">
      <c r="B315" s="94" t="s">
        <v>42</v>
      </c>
      <c r="C315" s="95"/>
      <c r="D315" s="33" t="str">
        <f>LEFT(D307,3)&amp;"-"&amp;TEXT(VALUE(RIGHT(D307,3))+1,"000")</f>
        <v>SFR-039</v>
      </c>
      <c r="E315" s="34" t="s">
        <v>85</v>
      </c>
      <c r="F315" s="35" t="str">
        <f>IFERROR(TRIM(IF(VLOOKUP($D315,'3. 요건기술서 전체'!$B:$L,10,0)&lt;&gt;"",IF(VLOOKUP($D315,'3. 요건기술서 전체'!$B:$L,10,0)="O", "한난O", IF(VLOOKUP($D315,'3. 요건기술서 전체'!$B:$L,10,0)="X", "한난X", "")),"") &amp; " " &amp;IF(VLOOKUP($D315,'3. 요건기술서 전체'!$B:$L,11,0)&lt;&gt;"",IF(VLOOKUP($D315,'3. 요건기술서 전체'!$B:$L,11,0)="O", "외부O", IF(VLOOKUP($D315,'3. 요건기술서 전체'!$B:$L,11,0)="X", "외부X", "")),"")),"")</f>
        <v>한난O 외부O</v>
      </c>
      <c r="H315" s="37" t="s">
        <v>375</v>
      </c>
    </row>
    <row r="316" spans="2:8" x14ac:dyDescent="0.3">
      <c r="B316" s="94" t="s">
        <v>43</v>
      </c>
      <c r="C316" s="95"/>
      <c r="D316" s="85" t="str">
        <f>VLOOKUP($D315,'3. 요건기술서 전체'!$B:$L,5,0)</f>
        <v>로그시트</v>
      </c>
      <c r="E316" s="86"/>
      <c r="F316" s="87"/>
      <c r="H316" s="44" t="s">
        <v>376</v>
      </c>
    </row>
    <row r="317" spans="2:8" x14ac:dyDescent="0.3">
      <c r="B317" s="98" t="s">
        <v>44</v>
      </c>
      <c r="C317" s="43" t="s">
        <v>45</v>
      </c>
      <c r="D317" s="85" t="str">
        <f>VLOOKUP($D315,'3. 요건기술서 전체'!$B:$L,7,0)</f>
        <v>로그시트 조회/등록/수정/승인</v>
      </c>
      <c r="E317" s="86"/>
      <c r="F317" s="87"/>
      <c r="H317" s="36" t="s">
        <v>548</v>
      </c>
    </row>
    <row r="318" spans="2:8" ht="76.5" x14ac:dyDescent="0.3">
      <c r="B318" s="98"/>
      <c r="C318" s="43" t="s">
        <v>46</v>
      </c>
      <c r="D318" s="85" t="str">
        <f>VLOOKUP($D315,'3. 요건기술서 전체'!$B:$L,8,0)</f>
        <v>○ 로그시트 관리
 - 교대 근무조의 일상점검·운영기록을 '로그시트'로 조회/등록/수정 기능
 - 기간, 소속, 교대근무 보직 등의 조건에 대한 다중 필터 검색 기능
 - 로그시트 점검항목별 Trend(추이) 제공 기능 (기간 설정/조회 가능)
 - 점검항목별 관리기준(상하한, 경보값)에 측정값이 벗어날 경우, 적합/이상 자동 표기 기능
 - 모바일을 활용해 현장에서 값 입력 등 수행 기능</v>
      </c>
      <c r="E318" s="86"/>
      <c r="F318" s="87"/>
      <c r="H318" s="36" t="s">
        <v>795</v>
      </c>
    </row>
    <row r="319" spans="2:8" x14ac:dyDescent="0.3">
      <c r="B319" s="90" t="s">
        <v>871</v>
      </c>
      <c r="C319" s="91"/>
      <c r="D319" s="88">
        <f>VLOOKUP(D315, '3. 요건기술서 전체'!$B:$L, 9, 0)</f>
        <v>0</v>
      </c>
      <c r="E319" s="88"/>
      <c r="F319" s="89"/>
      <c r="H319" s="37">
        <v>0</v>
      </c>
    </row>
    <row r="320" spans="2:8" ht="15.75" thickBot="1" x14ac:dyDescent="0.35">
      <c r="B320" s="92" t="s">
        <v>47</v>
      </c>
      <c r="C320" s="93"/>
      <c r="D320" s="99">
        <f>VLOOKUP($D315,'3. 요건기술서 전체'!$B:$L,2,0)</f>
        <v>0</v>
      </c>
      <c r="E320" s="100"/>
      <c r="F320" s="101"/>
      <c r="H320" s="37">
        <v>0</v>
      </c>
    </row>
    <row r="321" spans="2:8" ht="15.75" thickBot="1" x14ac:dyDescent="0.35">
      <c r="H321" s="37"/>
    </row>
    <row r="322" spans="2:8" x14ac:dyDescent="0.3">
      <c r="B322" s="96" t="s">
        <v>41</v>
      </c>
      <c r="C322" s="97"/>
      <c r="D322" s="30" t="s">
        <v>53</v>
      </c>
      <c r="E322" s="31" t="s">
        <v>131</v>
      </c>
      <c r="F322" s="32" t="str">
        <f>VLOOKUP($D323,'3. 요건기술서 전체'!$B:$L,6,0)</f>
        <v>필수</v>
      </c>
      <c r="H322" s="37" t="s">
        <v>689</v>
      </c>
    </row>
    <row r="323" spans="2:8" x14ac:dyDescent="0.3">
      <c r="B323" s="94" t="s">
        <v>42</v>
      </c>
      <c r="C323" s="95"/>
      <c r="D323" s="33" t="str">
        <f>LEFT(D315,3)&amp;"-"&amp;TEXT(VALUE(RIGHT(D315,3))+1,"000")</f>
        <v>SFR-040</v>
      </c>
      <c r="E323" s="34" t="s">
        <v>85</v>
      </c>
      <c r="F323" s="35" t="str">
        <f>IFERROR(TRIM(IF(VLOOKUP($D323,'3. 요건기술서 전체'!$B:$L,10,0)&lt;&gt;"",IF(VLOOKUP($D323,'3. 요건기술서 전체'!$B:$L,10,0)="O", "한난O", IF(VLOOKUP($D323,'3. 요건기술서 전체'!$B:$L,10,0)="X", "한난X", "")),"") &amp; " " &amp;IF(VLOOKUP($D323,'3. 요건기술서 전체'!$B:$L,11,0)&lt;&gt;"",IF(VLOOKUP($D323,'3. 요건기술서 전체'!$B:$L,11,0)="O", "외부O", IF(VLOOKUP($D323,'3. 요건기술서 전체'!$B:$L,11,0)="X", "외부X", "")),"")),"")</f>
        <v>한난O 외부O</v>
      </c>
      <c r="H323" s="44" t="s">
        <v>377</v>
      </c>
    </row>
    <row r="324" spans="2:8" x14ac:dyDescent="0.3">
      <c r="B324" s="94" t="s">
        <v>43</v>
      </c>
      <c r="C324" s="95"/>
      <c r="D324" s="85" t="str">
        <f>VLOOKUP($D323,'3. 요건기술서 전체'!$B:$L,5,0)</f>
        <v>인계인수일지</v>
      </c>
      <c r="E324" s="86"/>
      <c r="F324" s="87"/>
      <c r="H324" s="36" t="s">
        <v>378</v>
      </c>
    </row>
    <row r="325" spans="2:8" x14ac:dyDescent="0.3">
      <c r="B325" s="98" t="s">
        <v>44</v>
      </c>
      <c r="C325" s="43" t="s">
        <v>45</v>
      </c>
      <c r="D325" s="85" t="str">
        <f>VLOOKUP($D323,'3. 요건기술서 전체'!$B:$L,7,0)</f>
        <v>인계인수 일지 조회/등록/수정</v>
      </c>
      <c r="E325" s="86"/>
      <c r="F325" s="87"/>
      <c r="H325" s="36" t="s">
        <v>549</v>
      </c>
    </row>
    <row r="326" spans="2:8" ht="63.75" x14ac:dyDescent="0.3">
      <c r="B326" s="98"/>
      <c r="C326" s="43" t="s">
        <v>46</v>
      </c>
      <c r="D326" s="85" t="str">
        <f>VLOOKUP($D323,'3. 요건기술서 전체'!$B:$L,8,0)</f>
        <v>○ 인계인수일지 관리
 - 인계인수 일지 조회/작성 및 업무인계인수 설정(순환근무, 교대근무시간, 작성보직 등) 기능
 - 인계인수 설정에 따른 일자별 인계인수 목록 자동 생성 기능
 - 인계인수 조회 시, 근무조 및 교대근무 보직에 대한 다중 검색 필터 기능
 - 점검표, 운전 기록 등 파일 및 사진에 대한 일지 단위로 첨부 기능</v>
      </c>
      <c r="E326" s="86"/>
      <c r="F326" s="87"/>
      <c r="H326" s="37" t="s">
        <v>796</v>
      </c>
    </row>
    <row r="327" spans="2:8" x14ac:dyDescent="0.3">
      <c r="B327" s="90" t="s">
        <v>871</v>
      </c>
      <c r="C327" s="91"/>
      <c r="D327" s="88">
        <f>VLOOKUP(D323, '3. 요건기술서 전체'!$B:$L, 9, 0)</f>
        <v>0</v>
      </c>
      <c r="E327" s="88"/>
      <c r="F327" s="89"/>
      <c r="H327" s="37">
        <v>0</v>
      </c>
    </row>
    <row r="328" spans="2:8" ht="15.75" thickBot="1" x14ac:dyDescent="0.35">
      <c r="B328" s="92" t="s">
        <v>47</v>
      </c>
      <c r="C328" s="93"/>
      <c r="D328" s="99">
        <f>VLOOKUP($D323,'3. 요건기술서 전체'!$B:$L,2,0)</f>
        <v>0</v>
      </c>
      <c r="E328" s="100"/>
      <c r="F328" s="101"/>
      <c r="H328" s="37">
        <v>0</v>
      </c>
    </row>
    <row r="329" spans="2:8" ht="15.75" thickBot="1" x14ac:dyDescent="0.35">
      <c r="H329" s="37"/>
    </row>
    <row r="330" spans="2:8" x14ac:dyDescent="0.3">
      <c r="B330" s="96" t="s">
        <v>41</v>
      </c>
      <c r="C330" s="97"/>
      <c r="D330" s="30" t="s">
        <v>53</v>
      </c>
      <c r="E330" s="31" t="s">
        <v>131</v>
      </c>
      <c r="F330" s="32" t="str">
        <f>VLOOKUP($D331,'3. 요건기술서 전체'!$B:$L,6,0)</f>
        <v>필수</v>
      </c>
      <c r="H330" s="44" t="s">
        <v>689</v>
      </c>
    </row>
    <row r="331" spans="2:8" x14ac:dyDescent="0.3">
      <c r="B331" s="94" t="s">
        <v>42</v>
      </c>
      <c r="C331" s="95"/>
      <c r="D331" s="33" t="str">
        <f>LEFT(D323,3)&amp;"-"&amp;TEXT(VALUE(RIGHT(D323,3))+1,"000")</f>
        <v>SFR-041</v>
      </c>
      <c r="E331" s="34" t="s">
        <v>85</v>
      </c>
      <c r="F331" s="35" t="str">
        <f>IFERROR(TRIM(IF(VLOOKUP($D331,'3. 요건기술서 전체'!$B:$L,10,0)&lt;&gt;"",IF(VLOOKUP($D331,'3. 요건기술서 전체'!$B:$L,10,0)="O", "한난O", IF(VLOOKUP($D331,'3. 요건기술서 전체'!$B:$L,10,0)="X", "한난X", "")),"") &amp; " " &amp;IF(VLOOKUP($D331,'3. 요건기술서 전체'!$B:$L,11,0)&lt;&gt;"",IF(VLOOKUP($D331,'3. 요건기술서 전체'!$B:$L,11,0)="O", "외부O", IF(VLOOKUP($D331,'3. 요건기술서 전체'!$B:$L,11,0)="X", "외부X", "")),"")),"")</f>
        <v/>
      </c>
      <c r="H331" s="36" t="s">
        <v>379</v>
      </c>
    </row>
    <row r="332" spans="2:8" x14ac:dyDescent="0.3">
      <c r="B332" s="94" t="s">
        <v>43</v>
      </c>
      <c r="C332" s="95"/>
      <c r="D332" s="85" t="str">
        <f>VLOOKUP($D331,'3. 요건기술서 전체'!$B:$L,5,0)</f>
        <v>운전시간</v>
      </c>
      <c r="E332" s="86"/>
      <c r="F332" s="87"/>
      <c r="H332" s="36" t="s">
        <v>380</v>
      </c>
    </row>
    <row r="333" spans="2:8" x14ac:dyDescent="0.3">
      <c r="B333" s="98" t="s">
        <v>44</v>
      </c>
      <c r="C333" s="43" t="s">
        <v>45</v>
      </c>
      <c r="D333" s="85" t="str">
        <f>VLOOKUP($D331,'3. 요건기술서 전체'!$B:$L,7,0)</f>
        <v>운전시간 조회/등록/수정</v>
      </c>
      <c r="E333" s="86"/>
      <c r="F333" s="87"/>
      <c r="H333" s="37" t="s">
        <v>550</v>
      </c>
    </row>
    <row r="334" spans="2:8" ht="89.25" x14ac:dyDescent="0.3">
      <c r="B334" s="98"/>
      <c r="C334" s="43" t="s">
        <v>46</v>
      </c>
      <c r="D334" s="85" t="str">
        <f>VLOOKUP($D331,'3. 요건기술서 전체'!$B:$L,8,0)</f>
        <v>○ 운전시간 관리
 - 운전시간 관리 대상 기기 조회/등록/수정 기능
 - 관리 대상 기기 등록 시, 기기 관리 교대근무보직 조회/등록/수정 기능
 - 관리 대상 기기 등록 시, 대상기기에 세부설비가 있는 경우 관련 설비 연계 등록 기능
 - 주요기기의 운전시간 입력 및 운전 통계 조회 기능
 - 운전시간 등록 시, Start/Stop(기동/정지) 시각에 대한 동일 일자 복수 입력 기능
 - 운전시간 등록 시, 동일 상태(Start → Start 또는 Stop → Stop ) 연속 입력 방지 기능</v>
      </c>
      <c r="E334" s="86"/>
      <c r="F334" s="87"/>
      <c r="H334" s="37" t="s">
        <v>797</v>
      </c>
    </row>
    <row r="335" spans="2:8" x14ac:dyDescent="0.3">
      <c r="B335" s="90" t="s">
        <v>871</v>
      </c>
      <c r="C335" s="91"/>
      <c r="D335" s="88">
        <f>VLOOKUP(D331, '3. 요건기술서 전체'!$B:$L, 9, 0)</f>
        <v>0</v>
      </c>
      <c r="E335" s="88"/>
      <c r="F335" s="89"/>
      <c r="H335" s="37">
        <v>0</v>
      </c>
    </row>
    <row r="336" spans="2:8" ht="15.75" thickBot="1" x14ac:dyDescent="0.35">
      <c r="B336" s="92" t="s">
        <v>47</v>
      </c>
      <c r="C336" s="93"/>
      <c r="D336" s="99">
        <f>VLOOKUP($D331,'3. 요건기술서 전체'!$B:$L,2,0)</f>
        <v>0</v>
      </c>
      <c r="E336" s="100"/>
      <c r="F336" s="101"/>
      <c r="H336" s="37">
        <v>0</v>
      </c>
    </row>
    <row r="337" spans="2:8" ht="15.75" thickBot="1" x14ac:dyDescent="0.35"/>
    <row r="338" spans="2:8" x14ac:dyDescent="0.3">
      <c r="B338" s="96" t="s">
        <v>41</v>
      </c>
      <c r="C338" s="97"/>
      <c r="D338" s="30" t="s">
        <v>53</v>
      </c>
      <c r="E338" s="31" t="s">
        <v>131</v>
      </c>
      <c r="F338" s="32" t="str">
        <f>VLOOKUP($D339,'3. 요건기술서 전체'!$B:$L,6,0)</f>
        <v>필수</v>
      </c>
      <c r="H338" s="36" t="s">
        <v>689</v>
      </c>
    </row>
    <row r="339" spans="2:8" x14ac:dyDescent="0.3">
      <c r="B339" s="94" t="s">
        <v>42</v>
      </c>
      <c r="C339" s="95"/>
      <c r="D339" s="33" t="str">
        <f>LEFT(D331,3)&amp;"-"&amp;TEXT(VALUE(RIGHT(D331,3))+1,"000")</f>
        <v>SFR-042</v>
      </c>
      <c r="E339" s="34" t="s">
        <v>85</v>
      </c>
      <c r="F339" s="35" t="str">
        <f>IFERROR(TRIM(IF(VLOOKUP($D339,'3. 요건기술서 전체'!$B:$L,10,0)&lt;&gt;"",IF(VLOOKUP($D339,'3. 요건기술서 전체'!$B:$L,10,0)="O", "한난O", IF(VLOOKUP($D339,'3. 요건기술서 전체'!$B:$L,10,0)="X", "한난X", "")),"") &amp; " " &amp;IF(VLOOKUP($D339,'3. 요건기술서 전체'!$B:$L,11,0)&lt;&gt;"",IF(VLOOKUP($D339,'3. 요건기술서 전체'!$B:$L,11,0)="O", "외부O", IF(VLOOKUP($D339,'3. 요건기술서 전체'!$B:$L,11,0)="X", "외부X", "")),"")),"")</f>
        <v/>
      </c>
      <c r="H339" s="36" t="s">
        <v>381</v>
      </c>
    </row>
    <row r="340" spans="2:8" x14ac:dyDescent="0.3">
      <c r="B340" s="94" t="s">
        <v>43</v>
      </c>
      <c r="C340" s="95"/>
      <c r="D340" s="85" t="str">
        <f>VLOOKUP($D339,'3. 요건기술서 전체'!$B:$L,5,0)</f>
        <v>정비회의</v>
      </c>
      <c r="E340" s="86"/>
      <c r="F340" s="87"/>
      <c r="H340" s="37" t="s">
        <v>382</v>
      </c>
    </row>
    <row r="341" spans="2:8" x14ac:dyDescent="0.3">
      <c r="B341" s="98" t="s">
        <v>44</v>
      </c>
      <c r="C341" s="43" t="s">
        <v>45</v>
      </c>
      <c r="D341" s="85" t="str">
        <f>VLOOKUP($D339,'3. 요건기술서 전체'!$B:$L,7,0)</f>
        <v>정비회의 조회 및 회의자료 첨부 및 다운로드</v>
      </c>
      <c r="E341" s="86"/>
      <c r="F341" s="87"/>
      <c r="H341" s="37" t="s">
        <v>551</v>
      </c>
    </row>
    <row r="342" spans="2:8" ht="38.25" x14ac:dyDescent="0.3">
      <c r="B342" s="98"/>
      <c r="C342" s="43" t="s">
        <v>46</v>
      </c>
      <c r="D342" s="85" t="str">
        <f>VLOOKUP($D339,'3. 요건기술서 전체'!$B:$L,8,0)</f>
        <v>○ 정비회의 관리
 - 정비회의 기본정보 및 안건 대상(TM, 작업오더) 관리 기능
 - 정비회의 대상 TM/작업오더 조회 및 연계 기능</v>
      </c>
      <c r="E342" s="86"/>
      <c r="F342" s="87"/>
      <c r="H342" s="37" t="s">
        <v>798</v>
      </c>
    </row>
    <row r="343" spans="2:8" x14ac:dyDescent="0.3">
      <c r="B343" s="90" t="s">
        <v>871</v>
      </c>
      <c r="C343" s="91"/>
      <c r="D343" s="88">
        <f>VLOOKUP(D339, '3. 요건기술서 전체'!$B:$L, 9, 0)</f>
        <v>0</v>
      </c>
      <c r="E343" s="88"/>
      <c r="F343" s="89"/>
      <c r="H343" s="37">
        <v>0</v>
      </c>
    </row>
    <row r="344" spans="2:8" ht="15.75" thickBot="1" x14ac:dyDescent="0.35">
      <c r="B344" s="92" t="s">
        <v>47</v>
      </c>
      <c r="C344" s="93"/>
      <c r="D344" s="99">
        <f>VLOOKUP($D339,'3. 요건기술서 전체'!$B:$L,2,0)</f>
        <v>0</v>
      </c>
      <c r="E344" s="100"/>
      <c r="F344" s="101"/>
      <c r="H344" s="44">
        <v>0</v>
      </c>
    </row>
    <row r="345" spans="2:8" ht="15.75" thickBot="1" x14ac:dyDescent="0.35">
      <c r="H345" s="36"/>
    </row>
    <row r="346" spans="2:8" x14ac:dyDescent="0.3">
      <c r="B346" s="96" t="s">
        <v>41</v>
      </c>
      <c r="C346" s="97"/>
      <c r="D346" s="30" t="s">
        <v>53</v>
      </c>
      <c r="E346" s="31" t="s">
        <v>131</v>
      </c>
      <c r="F346" s="32" t="str">
        <f>VLOOKUP($D347,'3. 요건기술서 전체'!$B:$L,6,0)</f>
        <v>필수</v>
      </c>
      <c r="H346" s="36" t="s">
        <v>689</v>
      </c>
    </row>
    <row r="347" spans="2:8" x14ac:dyDescent="0.3">
      <c r="B347" s="94" t="s">
        <v>42</v>
      </c>
      <c r="C347" s="95"/>
      <c r="D347" s="33" t="str">
        <f>LEFT(D339,3)&amp;"-"&amp;TEXT(VALUE(RIGHT(D339,3))+1,"000")</f>
        <v>SFR-043</v>
      </c>
      <c r="E347" s="34" t="s">
        <v>85</v>
      </c>
      <c r="F347" s="35" t="str">
        <f>IFERROR(TRIM(IF(VLOOKUP($D347,'3. 요건기술서 전체'!$B:$L,10,0)&lt;&gt;"",IF(VLOOKUP($D347,'3. 요건기술서 전체'!$B:$L,10,0)="O", "한난O", IF(VLOOKUP($D347,'3. 요건기술서 전체'!$B:$L,10,0)="X", "한난X", "")),"") &amp; " " &amp;IF(VLOOKUP($D347,'3. 요건기술서 전체'!$B:$L,11,0)&lt;&gt;"",IF(VLOOKUP($D347,'3. 요건기술서 전체'!$B:$L,11,0)="O", "외부O", IF(VLOOKUP($D347,'3. 요건기술서 전체'!$B:$L,11,0)="X", "외부X", "")),"")),"")</f>
        <v/>
      </c>
      <c r="H347" s="37" t="s">
        <v>383</v>
      </c>
    </row>
    <row r="348" spans="2:8" x14ac:dyDescent="0.3">
      <c r="B348" s="94" t="s">
        <v>43</v>
      </c>
      <c r="C348" s="95"/>
      <c r="D348" s="85" t="str">
        <f>VLOOKUP($D347,'3. 요건기술서 전체'!$B:$L,5,0)</f>
        <v>도면 및 기술자료 관리</v>
      </c>
      <c r="E348" s="86"/>
      <c r="F348" s="87"/>
      <c r="H348" s="37" t="s">
        <v>384</v>
      </c>
    </row>
    <row r="349" spans="2:8" x14ac:dyDescent="0.3">
      <c r="B349" s="98" t="s">
        <v>44</v>
      </c>
      <c r="C349" s="43" t="s">
        <v>45</v>
      </c>
      <c r="D349" s="85" t="str">
        <f>VLOOKUP($D347,'3. 요건기술서 전체'!$B:$L,7,0)</f>
        <v>도면, 매뉴얼, 준공도서, 사양서 등 유지보수 및 자재관리 관련 기술자료 관리</v>
      </c>
      <c r="E349" s="86"/>
      <c r="F349" s="87"/>
      <c r="H349" s="37" t="s">
        <v>552</v>
      </c>
    </row>
    <row r="350" spans="2:8" ht="51" x14ac:dyDescent="0.3">
      <c r="B350" s="98"/>
      <c r="C350" s="43" t="s">
        <v>46</v>
      </c>
      <c r="D350" s="85" t="str">
        <f>VLOOKUP($D347,'3. 요건기술서 전체'!$B:$L,8,0)</f>
        <v>○ 도면, 매뉴얼, 준공도서, 사양서, 지침서 등 유지보수 및 자재관리 관련 기술자료의 파일형태 등록/수정/삭제 기능
○ 기술자료는 PDF, CAD, 이미지, 오피스 문서 등 다양한 형식의 파일 등록 기능
○ 등록된 기술자료의 파일명, 내용 등 조건에 따른 조회 및 열람, 다운로드 기능
○ 기술자료 개정 시, 이전 버전의 이력관리 기능</v>
      </c>
      <c r="E350" s="86"/>
      <c r="F350" s="87"/>
      <c r="H350" s="37" t="s">
        <v>553</v>
      </c>
    </row>
    <row r="351" spans="2:8" x14ac:dyDescent="0.3">
      <c r="B351" s="90" t="s">
        <v>871</v>
      </c>
      <c r="C351" s="91"/>
      <c r="D351" s="88">
        <f>VLOOKUP(D347, '3. 요건기술서 전체'!$B:$L, 9, 0)</f>
        <v>0</v>
      </c>
      <c r="E351" s="88"/>
      <c r="F351" s="89"/>
      <c r="H351" s="44">
        <v>0</v>
      </c>
    </row>
    <row r="352" spans="2:8" ht="15.75" thickBot="1" x14ac:dyDescent="0.35">
      <c r="B352" s="92" t="s">
        <v>47</v>
      </c>
      <c r="C352" s="93"/>
      <c r="D352" s="99">
        <f>VLOOKUP($D347,'3. 요건기술서 전체'!$B:$L,2,0)</f>
        <v>0</v>
      </c>
      <c r="E352" s="100"/>
      <c r="F352" s="101"/>
      <c r="H352" s="36">
        <v>0</v>
      </c>
    </row>
    <row r="353" spans="2:8" ht="15.75" thickBot="1" x14ac:dyDescent="0.35">
      <c r="H353" s="36"/>
    </row>
    <row r="354" spans="2:8" x14ac:dyDescent="0.3">
      <c r="B354" s="96" t="s">
        <v>41</v>
      </c>
      <c r="C354" s="97"/>
      <c r="D354" s="30" t="s">
        <v>53</v>
      </c>
      <c r="E354" s="31" t="s">
        <v>131</v>
      </c>
      <c r="F354" s="32" t="str">
        <f>VLOOKUP($D355,'3. 요건기술서 전체'!$B:$L,6,0)</f>
        <v>필수</v>
      </c>
      <c r="H354" s="37" t="s">
        <v>689</v>
      </c>
    </row>
    <row r="355" spans="2:8" x14ac:dyDescent="0.3">
      <c r="B355" s="94" t="s">
        <v>42</v>
      </c>
      <c r="C355" s="95"/>
      <c r="D355" s="33" t="str">
        <f>LEFT(D347,3)&amp;"-"&amp;TEXT(VALUE(RIGHT(D347,3))+1,"000")</f>
        <v>SFR-044</v>
      </c>
      <c r="E355" s="34" t="s">
        <v>85</v>
      </c>
      <c r="F355" s="35" t="str">
        <f>IFERROR(TRIM(IF(VLOOKUP($D355,'3. 요건기술서 전체'!$B:$L,10,0)&lt;&gt;"",IF(VLOOKUP($D355,'3. 요건기술서 전체'!$B:$L,10,0)="O", "한난O", IF(VLOOKUP($D355,'3. 요건기술서 전체'!$B:$L,10,0)="X", "한난X", "")),"") &amp; " " &amp;IF(VLOOKUP($D355,'3. 요건기술서 전체'!$B:$L,11,0)&lt;&gt;"",IF(VLOOKUP($D355,'3. 요건기술서 전체'!$B:$L,11,0)="O", "외부O", IF(VLOOKUP($D355,'3. 요건기술서 전체'!$B:$L,11,0)="X", "외부X", "")),"")),"")</f>
        <v/>
      </c>
      <c r="H355" s="37" t="s">
        <v>385</v>
      </c>
    </row>
    <row r="356" spans="2:8" x14ac:dyDescent="0.3">
      <c r="B356" s="94" t="s">
        <v>43</v>
      </c>
      <c r="C356" s="95"/>
      <c r="D356" s="85" t="str">
        <f>VLOOKUP($D355,'3. 요건기술서 전체'!$B:$L,5,0)</f>
        <v>예산관리</v>
      </c>
      <c r="E356" s="86"/>
      <c r="F356" s="87"/>
      <c r="H356" s="37" t="s">
        <v>13</v>
      </c>
    </row>
    <row r="357" spans="2:8" x14ac:dyDescent="0.3">
      <c r="B357" s="98" t="s">
        <v>44</v>
      </c>
      <c r="C357" s="43" t="s">
        <v>45</v>
      </c>
      <c r="D357" s="85" t="str">
        <f>VLOOKUP($D355,'3. 요건기술서 전체'!$B:$L,7,0)</f>
        <v>예산관리</v>
      </c>
      <c r="E357" s="86"/>
      <c r="F357" s="87"/>
      <c r="H357" s="37" t="s">
        <v>13</v>
      </c>
    </row>
    <row r="358" spans="2:8" ht="127.5" x14ac:dyDescent="0.3">
      <c r="B358" s="98"/>
      <c r="C358" s="43" t="s">
        <v>46</v>
      </c>
      <c r="D358" s="85" t="str">
        <f>VLOOKUP($D355,'3. 요건기술서 전체'!$B:$L,8,0)</f>
        <v>○ 지사/본사간 차년도 예산관리 (SAP 연계 불필요)
 - 차년도 필요 예산을 지사별 담당자가 지정된 기간에 주관부서(과)/종류/총금액/월별금액 등의 정보를 등록/수정하는 기능(타 지사 신청 예산 확인 가능)
 - 지사별 예산 등록 기간 종료 이후, 본사 예산 담당자에 의해 각 지사별 등록 예산의 비용 조정 등 차수(이력) 관리 기능
 - 차수(이력)는 제한없이 증가
 - 각 차수별 변경 사항의 비교 기능
 - 차수 종료 이후, 각 지사별 담당자가 최종 확정 예산 확인 기능(타 지사 확정 예산 확인 가능)
 - 당해 년도 확정 예산 운영 중, 비상·긴급 예산 편성 필요 시 각 지사별 담당자가 긴급 예산 신청 기능
 - 각 항목별 확정 예산의 실적 관리 기능(작업/공사에서 사용 예산으로 필수 선택)
 - 본사 예산 담당자의 각 지사별 비상·긴급 예산 신청 내용 조회 기능</v>
      </c>
      <c r="E358" s="86"/>
      <c r="F358" s="87"/>
      <c r="H358" s="44" t="s">
        <v>799</v>
      </c>
    </row>
    <row r="359" spans="2:8" x14ac:dyDescent="0.3">
      <c r="B359" s="90" t="s">
        <v>871</v>
      </c>
      <c r="C359" s="91"/>
      <c r="D359" s="88">
        <f>VLOOKUP(D355, '3. 요건기술서 전체'!$B:$L, 9, 0)</f>
        <v>0</v>
      </c>
      <c r="E359" s="88"/>
      <c r="F359" s="89"/>
      <c r="H359" s="36">
        <v>0</v>
      </c>
    </row>
    <row r="360" spans="2:8" ht="15.75" thickBot="1" x14ac:dyDescent="0.35">
      <c r="B360" s="92" t="s">
        <v>47</v>
      </c>
      <c r="C360" s="93"/>
      <c r="D360" s="99">
        <f>VLOOKUP($D355,'3. 요건기술서 전체'!$B:$L,2,0)</f>
        <v>0</v>
      </c>
      <c r="E360" s="100"/>
      <c r="F360" s="101"/>
      <c r="H360" s="36">
        <v>0</v>
      </c>
    </row>
    <row r="361" spans="2:8" ht="15.75" thickBot="1" x14ac:dyDescent="0.35">
      <c r="H361" s="37"/>
    </row>
    <row r="362" spans="2:8" x14ac:dyDescent="0.3">
      <c r="B362" s="96" t="s">
        <v>41</v>
      </c>
      <c r="C362" s="97"/>
      <c r="D362" s="30" t="s">
        <v>53</v>
      </c>
      <c r="E362" s="31" t="s">
        <v>131</v>
      </c>
      <c r="F362" s="32" t="str">
        <f>VLOOKUP($D363,'3. 요건기술서 전체'!$B:$L,6,0)</f>
        <v>필수</v>
      </c>
      <c r="H362" s="37" t="s">
        <v>689</v>
      </c>
    </row>
    <row r="363" spans="2:8" x14ac:dyDescent="0.3">
      <c r="B363" s="94" t="s">
        <v>42</v>
      </c>
      <c r="C363" s="95"/>
      <c r="D363" s="33" t="str">
        <f>LEFT(D355,3)&amp;"-"&amp;TEXT(VALUE(RIGHT(D355,3))+1,"000")</f>
        <v>SFR-045</v>
      </c>
      <c r="E363" s="34" t="s">
        <v>85</v>
      </c>
      <c r="F363" s="35" t="str">
        <f>IFERROR(TRIM(IF(VLOOKUP($D363,'3. 요건기술서 전체'!$B:$L,10,0)&lt;&gt;"",IF(VLOOKUP($D363,'3. 요건기술서 전체'!$B:$L,10,0)="O", "한난O", IF(VLOOKUP($D363,'3. 요건기술서 전체'!$B:$L,10,0)="X", "한난X", "")),"") &amp; " " &amp;IF(VLOOKUP($D363,'3. 요건기술서 전체'!$B:$L,11,0)&lt;&gt;"",IF(VLOOKUP($D363,'3. 요건기술서 전체'!$B:$L,11,0)="O", "외부O", IF(VLOOKUP($D363,'3. 요건기술서 전체'!$B:$L,11,0)="X", "외부X", "")),"")),"")</f>
        <v/>
      </c>
      <c r="H363" s="37" t="s">
        <v>386</v>
      </c>
    </row>
    <row r="364" spans="2:8" x14ac:dyDescent="0.3">
      <c r="B364" s="94" t="s">
        <v>43</v>
      </c>
      <c r="C364" s="95"/>
      <c r="D364" s="85" t="str">
        <f>VLOOKUP($D363,'3. 요건기술서 전체'!$B:$L,5,0)</f>
        <v>공통 -결재</v>
      </c>
      <c r="E364" s="86"/>
      <c r="F364" s="87"/>
      <c r="H364" s="37" t="s">
        <v>800</v>
      </c>
    </row>
    <row r="365" spans="2:8" x14ac:dyDescent="0.3">
      <c r="B365" s="98" t="s">
        <v>44</v>
      </c>
      <c r="C365" s="43" t="s">
        <v>45</v>
      </c>
      <c r="D365" s="85" t="str">
        <f>VLOOKUP($D363,'3. 요건기술서 전체'!$B:$L,7,0)</f>
        <v>시스템 내 결재 업무 시 공통적인 사항</v>
      </c>
      <c r="E365" s="86"/>
      <c r="F365" s="87"/>
      <c r="H365" s="44" t="s">
        <v>554</v>
      </c>
    </row>
    <row r="366" spans="2:8" ht="102" x14ac:dyDescent="0.3">
      <c r="B366" s="98"/>
      <c r="C366" s="43" t="s">
        <v>46</v>
      </c>
      <c r="D366" s="85" t="str">
        <f>VLOOKUP($D363,'3. 요건기술서 전체'!$B:$L,8,0)</f>
        <v>○ 결재 진행 중 결재선 수정 기능
○ 모든 결재자의 결재문서에 대한 의견 등록 기능
○ 결재가 완료되지 않은 문서의 최종승인 전에 회수 기능
○ 결재가 부재 시 대결자 관리 기능
○ 담당자 변경 시 이전 담당자의 업무 이력 공유 기능
○ 프로젝트 담당자 변경 시 결재라인의 자동 변경 기능
○ 결재 지연 발생 시 알림 기능
○ 문서별로 결재 후 회신 프로세스 적용 검토(참조용/승인용/건설용/준공용)</v>
      </c>
      <c r="E366" s="86"/>
      <c r="F366" s="87"/>
      <c r="H366" s="36" t="s">
        <v>1067</v>
      </c>
    </row>
    <row r="367" spans="2:8" x14ac:dyDescent="0.3">
      <c r="B367" s="90" t="s">
        <v>871</v>
      </c>
      <c r="C367" s="91"/>
      <c r="D367" s="88">
        <f>VLOOKUP(D363, '3. 요건기술서 전체'!$B:$L, 9, 0)</f>
        <v>0</v>
      </c>
      <c r="E367" s="88"/>
      <c r="F367" s="89"/>
      <c r="H367" s="36">
        <v>0</v>
      </c>
    </row>
    <row r="368" spans="2:8" ht="15.75" thickBot="1" x14ac:dyDescent="0.35">
      <c r="B368" s="92" t="s">
        <v>47</v>
      </c>
      <c r="C368" s="93"/>
      <c r="D368" s="99">
        <f>VLOOKUP($D363,'3. 요건기술서 전체'!$B:$L,2,0)</f>
        <v>0</v>
      </c>
      <c r="E368" s="100"/>
      <c r="F368" s="101"/>
      <c r="H368" s="37">
        <v>0</v>
      </c>
    </row>
    <row r="369" spans="2:8" ht="15.75" thickBot="1" x14ac:dyDescent="0.35">
      <c r="H369" s="37"/>
    </row>
    <row r="370" spans="2:8" x14ac:dyDescent="0.3">
      <c r="B370" s="96" t="s">
        <v>41</v>
      </c>
      <c r="C370" s="97"/>
      <c r="D370" s="30" t="s">
        <v>53</v>
      </c>
      <c r="E370" s="31" t="s">
        <v>131</v>
      </c>
      <c r="F370" s="32" t="str">
        <f>VLOOKUP($D371,'3. 요건기술서 전체'!$B:$L,6,0)</f>
        <v>필수</v>
      </c>
      <c r="H370" s="37" t="s">
        <v>689</v>
      </c>
    </row>
    <row r="371" spans="2:8" x14ac:dyDescent="0.3">
      <c r="B371" s="94" t="s">
        <v>42</v>
      </c>
      <c r="C371" s="95"/>
      <c r="D371" s="33" t="str">
        <f>LEFT(D363,3)&amp;"-"&amp;TEXT(VALUE(RIGHT(D363,3))+1,"000")</f>
        <v>SFR-046</v>
      </c>
      <c r="E371" s="34" t="s">
        <v>85</v>
      </c>
      <c r="F371" s="35" t="str">
        <f>IFERROR(TRIM(IF(VLOOKUP($D371,'3. 요건기술서 전체'!$B:$L,10,0)&lt;&gt;"",IF(VLOOKUP($D371,'3. 요건기술서 전체'!$B:$L,10,0)="O", "한난O", IF(VLOOKUP($D371,'3. 요건기술서 전체'!$B:$L,10,0)="X", "한난X", "")),"") &amp; " " &amp;IF(VLOOKUP($D371,'3. 요건기술서 전체'!$B:$L,11,0)&lt;&gt;"",IF(VLOOKUP($D371,'3. 요건기술서 전체'!$B:$L,11,0)="O", "외부O", IF(VLOOKUP($D371,'3. 요건기술서 전체'!$B:$L,11,0)="X", "외부X", "")),"")),"")</f>
        <v/>
      </c>
      <c r="H371" s="37" t="s">
        <v>387</v>
      </c>
    </row>
    <row r="372" spans="2:8" x14ac:dyDescent="0.3">
      <c r="B372" s="94" t="s">
        <v>43</v>
      </c>
      <c r="C372" s="95"/>
      <c r="D372" s="85" t="str">
        <f>VLOOKUP($D371,'3. 요건기술서 전체'!$B:$L,5,0)</f>
        <v>공통 -공람</v>
      </c>
      <c r="E372" s="86"/>
      <c r="F372" s="87"/>
      <c r="H372" s="44" t="s">
        <v>801</v>
      </c>
    </row>
    <row r="373" spans="2:8" x14ac:dyDescent="0.3">
      <c r="B373" s="98" t="s">
        <v>44</v>
      </c>
      <c r="C373" s="43" t="s">
        <v>45</v>
      </c>
      <c r="D373" s="85" t="str">
        <f>VLOOKUP($D371,'3. 요건기술서 전체'!$B:$L,7,0)</f>
        <v>프로젝트 공람 기능</v>
      </c>
      <c r="E373" s="86"/>
      <c r="F373" s="87"/>
      <c r="H373" s="36" t="s">
        <v>555</v>
      </c>
    </row>
    <row r="374" spans="2:8" ht="38.25" x14ac:dyDescent="0.3">
      <c r="B374" s="98"/>
      <c r="C374" s="43" t="s">
        <v>46</v>
      </c>
      <c r="D374" s="85" t="str">
        <f>VLOOKUP($D371,'3. 요건기술서 전체'!$B:$L,8,0)</f>
        <v>○ 문서의 공람 기능
○ 해당 지사 직원의 해당 지사 내 프로젝트 문서 공람은 가능, 편집은 불가능
○ 건설처 직원의 모든 프로젝트 열람 가능 (편집 불가능)</v>
      </c>
      <c r="E374" s="86"/>
      <c r="F374" s="87"/>
      <c r="H374" s="36" t="s">
        <v>1068</v>
      </c>
    </row>
    <row r="375" spans="2:8" x14ac:dyDescent="0.3">
      <c r="B375" s="90" t="s">
        <v>871</v>
      </c>
      <c r="C375" s="91"/>
      <c r="D375" s="88">
        <f>VLOOKUP(D371, '3. 요건기술서 전체'!$B:$L, 9, 0)</f>
        <v>0</v>
      </c>
      <c r="E375" s="88"/>
      <c r="F375" s="89"/>
      <c r="H375" s="37">
        <v>0</v>
      </c>
    </row>
    <row r="376" spans="2:8" ht="15.75" thickBot="1" x14ac:dyDescent="0.35">
      <c r="B376" s="92" t="s">
        <v>47</v>
      </c>
      <c r="C376" s="93"/>
      <c r="D376" s="99">
        <f>VLOOKUP($D371,'3. 요건기술서 전체'!$B:$L,2,0)</f>
        <v>0</v>
      </c>
      <c r="E376" s="100"/>
      <c r="F376" s="101"/>
      <c r="H376" s="37">
        <v>0</v>
      </c>
    </row>
    <row r="377" spans="2:8" ht="15.75" thickBot="1" x14ac:dyDescent="0.35">
      <c r="H377" s="37"/>
    </row>
    <row r="378" spans="2:8" x14ac:dyDescent="0.3">
      <c r="B378" s="96" t="s">
        <v>41</v>
      </c>
      <c r="C378" s="97"/>
      <c r="D378" s="30" t="s">
        <v>53</v>
      </c>
      <c r="E378" s="31" t="s">
        <v>131</v>
      </c>
      <c r="F378" s="32" t="str">
        <f>VLOOKUP($D379,'3. 요건기술서 전체'!$B:$L,6,0)</f>
        <v>필수</v>
      </c>
      <c r="H378" s="37" t="s">
        <v>689</v>
      </c>
    </row>
    <row r="379" spans="2:8" x14ac:dyDescent="0.3">
      <c r="B379" s="94" t="s">
        <v>42</v>
      </c>
      <c r="C379" s="95"/>
      <c r="D379" s="33" t="str">
        <f>LEFT(D371,3)&amp;"-"&amp;TEXT(VALUE(RIGHT(D371,3))+1,"000")</f>
        <v>SFR-047</v>
      </c>
      <c r="E379" s="34" t="s">
        <v>85</v>
      </c>
      <c r="F379" s="35" t="str">
        <f>IFERROR(TRIM(IF(VLOOKUP($D379,'3. 요건기술서 전체'!$B:$L,10,0)&lt;&gt;"",IF(VLOOKUP($D379,'3. 요건기술서 전체'!$B:$L,10,0)="O", "한난O", IF(VLOOKUP($D379,'3. 요건기술서 전체'!$B:$L,10,0)="X", "한난X", "")),"") &amp; " " &amp;IF(VLOOKUP($D379,'3. 요건기술서 전체'!$B:$L,11,0)&lt;&gt;"",IF(VLOOKUP($D379,'3. 요건기술서 전체'!$B:$L,11,0)="O", "외부O", IF(VLOOKUP($D379,'3. 요건기술서 전체'!$B:$L,11,0)="X", "외부X", "")),"")),"")</f>
        <v/>
      </c>
      <c r="H379" s="44" t="s">
        <v>388</v>
      </c>
    </row>
    <row r="380" spans="2:8" x14ac:dyDescent="0.3">
      <c r="B380" s="94" t="s">
        <v>43</v>
      </c>
      <c r="C380" s="95"/>
      <c r="D380" s="85" t="str">
        <f>VLOOKUP($D379,'3. 요건기술서 전체'!$B:$L,5,0)</f>
        <v>공통 -첨부</v>
      </c>
      <c r="E380" s="86"/>
      <c r="F380" s="87"/>
      <c r="H380" s="36" t="s">
        <v>802</v>
      </c>
    </row>
    <row r="381" spans="2:8" x14ac:dyDescent="0.3">
      <c r="B381" s="98" t="s">
        <v>44</v>
      </c>
      <c r="C381" s="43" t="s">
        <v>45</v>
      </c>
      <c r="D381" s="85" t="str">
        <f>VLOOKUP($D379,'3. 요건기술서 전체'!$B:$L,7,0)</f>
        <v>파일 업로드 및 다운로드 기능</v>
      </c>
      <c r="E381" s="86"/>
      <c r="F381" s="87"/>
      <c r="H381" s="36" t="s">
        <v>556</v>
      </c>
    </row>
    <row r="382" spans="2:8" ht="76.5" x14ac:dyDescent="0.3">
      <c r="B382" s="98"/>
      <c r="C382" s="43" t="s">
        <v>46</v>
      </c>
      <c r="D382" s="85" t="str">
        <f>VLOOKUP($D379,'3. 요건기술서 전체'!$B:$L,8,0)</f>
        <v>○ 모든 파일의 암호화되며, 정상적인 경로로 다운로드 시 복호화 기능
○ 파일 등록 시 승인자, 검토자, 통보자 지정 기능
○ 등록된 파일을 건설사, 설계사가 확인할 수 있도록 자동 배포 기능
○ 첨부파일의 개별 또는 일괄 업로드/다운로드 기능
○ 다운로드 이력 확인 기능
○ 다운로드 권한관리 기능</v>
      </c>
      <c r="E382" s="86"/>
      <c r="F382" s="87"/>
      <c r="H382" s="37" t="s">
        <v>1069</v>
      </c>
    </row>
    <row r="383" spans="2:8" x14ac:dyDescent="0.3">
      <c r="B383" s="90" t="s">
        <v>871</v>
      </c>
      <c r="C383" s="91"/>
      <c r="D383" s="88">
        <f>VLOOKUP(D379, '3. 요건기술서 전체'!$B:$L, 9, 0)</f>
        <v>0</v>
      </c>
      <c r="E383" s="88"/>
      <c r="F383" s="89"/>
      <c r="H383" s="37">
        <v>0</v>
      </c>
    </row>
    <row r="384" spans="2:8" ht="15.75" thickBot="1" x14ac:dyDescent="0.35">
      <c r="B384" s="92" t="s">
        <v>47</v>
      </c>
      <c r="C384" s="93"/>
      <c r="D384" s="99">
        <f>VLOOKUP($D379,'3. 요건기술서 전체'!$B:$L,2,0)</f>
        <v>0</v>
      </c>
      <c r="E384" s="100"/>
      <c r="F384" s="101"/>
      <c r="H384" s="37">
        <v>0</v>
      </c>
    </row>
    <row r="385" spans="2:8" ht="15.75" thickBot="1" x14ac:dyDescent="0.35">
      <c r="H385" s="37"/>
    </row>
    <row r="386" spans="2:8" x14ac:dyDescent="0.3">
      <c r="B386" s="96" t="s">
        <v>41</v>
      </c>
      <c r="C386" s="97"/>
      <c r="D386" s="30" t="s">
        <v>53</v>
      </c>
      <c r="E386" s="31" t="s">
        <v>131</v>
      </c>
      <c r="F386" s="32" t="str">
        <f>VLOOKUP($D387,'3. 요건기술서 전체'!$B:$L,6,0)</f>
        <v>필수</v>
      </c>
      <c r="H386" s="44" t="s">
        <v>689</v>
      </c>
    </row>
    <row r="387" spans="2:8" x14ac:dyDescent="0.3">
      <c r="B387" s="94" t="s">
        <v>42</v>
      </c>
      <c r="C387" s="95"/>
      <c r="D387" s="33" t="str">
        <f>LEFT(D379,3)&amp;"-"&amp;TEXT(VALUE(RIGHT(D379,3))+1,"000")</f>
        <v>SFR-048</v>
      </c>
      <c r="E387" s="34" t="s">
        <v>85</v>
      </c>
      <c r="F387" s="35" t="str">
        <f>IFERROR(TRIM(IF(VLOOKUP($D387,'3. 요건기술서 전체'!$B:$L,10,0)&lt;&gt;"",IF(VLOOKUP($D387,'3. 요건기술서 전체'!$B:$L,10,0)="O", "한난O", IF(VLOOKUP($D387,'3. 요건기술서 전체'!$B:$L,10,0)="X", "한난X", "")),"") &amp; " " &amp;IF(VLOOKUP($D387,'3. 요건기술서 전체'!$B:$L,11,0)&lt;&gt;"",IF(VLOOKUP($D387,'3. 요건기술서 전체'!$B:$L,11,0)="O", "외부O", IF(VLOOKUP($D387,'3. 요건기술서 전체'!$B:$L,11,0)="X", "외부X", "")),"")),"")</f>
        <v/>
      </c>
      <c r="H387" s="36" t="s">
        <v>389</v>
      </c>
    </row>
    <row r="388" spans="2:8" x14ac:dyDescent="0.3">
      <c r="B388" s="94" t="s">
        <v>43</v>
      </c>
      <c r="C388" s="95"/>
      <c r="D388" s="85" t="str">
        <f>VLOOKUP($D387,'3. 요건기술서 전체'!$B:$L,5,0)</f>
        <v>건설정보시스템 메인화면 -대시보드</v>
      </c>
      <c r="E388" s="86"/>
      <c r="F388" s="87"/>
      <c r="H388" s="36" t="s">
        <v>803</v>
      </c>
    </row>
    <row r="389" spans="2:8" x14ac:dyDescent="0.3">
      <c r="B389" s="98" t="s">
        <v>44</v>
      </c>
      <c r="C389" s="43" t="s">
        <v>45</v>
      </c>
      <c r="D389" s="85" t="str">
        <f>VLOOKUP($D387,'3. 요건기술서 전체'!$B:$L,7,0)</f>
        <v>건설정보시스템 대시보드 메인화면 기능 (사용자 관련 건설정보 내 프로젝트 전반)</v>
      </c>
      <c r="E389" s="86"/>
      <c r="F389" s="87"/>
      <c r="H389" s="37" t="s">
        <v>557</v>
      </c>
    </row>
    <row r="390" spans="2:8" ht="204" x14ac:dyDescent="0.3">
      <c r="B390" s="98"/>
      <c r="C390" s="43" t="s">
        <v>46</v>
      </c>
      <c r="D390" s="85" t="str">
        <f>VLOOKUP($D387,'3. 요건기술서 전체'!$B:$L,8,0)</f>
        <v>○  대시보드는 [건설프로젝트, 건설자료실, 구축예정(BIM 설계), 현장기술지원(토건시설물)]으로 구성
○  건설프로젝트는 [진행 프로젝트]로만 구성
 - 진행 프로젝트는 아직 완료되지 않은 프로젝트들이며, 진행 프로젝트가 완료 처리되면 건설자료실로 이관되며(모드 이력관리)
 - AS -BUILT 도면만 스마트 도면 또는 설비마스터로 등록 및 자동 이관
 - 각 프로젝트 리스트는 건설지사 단위의 트리구조로 구성, 건설지사 클릭 시 해당 지사 하위 프로젝트가 나열되는 직관적인 리스트로 구성
 - 프로젝트 리스트 트리구조는 원하는 구성으로 수정가능
 - 특정 프로젝트 선택 시 해당 프로젝트의 메인화면 팝업으로 이동
 - 품질관리는 건설용으로 함, 지사 유지보수용은 별도 카테고리로 구성됨
○ 건설자료실은 [완료 프로젝트]로 구성
 - 지사별로 표기하며, 년도별로 표기 요망, 해당 건 클릭 시 팝업으로 업무 처리
○ 구축예정(BIM 설계) 는 추후 건설처 의견 반영후 구성
○ 현장기술지원(토건시설물)
 - 토건시설물은 건설관리부 토건시설물 유지보수 기술지원 시행에 해당하며, 
 - 기술지원(공법선정, 예상공사비, 예산협조 등) 요청 등록 및 기술지원서 의견 송부, 시설물 유지관리 기록대장으로 구성 (별도 양식 제공)
 - 품질관리는 지사 내 입회요청 및 입회결과로 구성 (별도 양식 제공)
    [(품질관리(건설용) 및 품질관리(건설용) -현황 내용 참조] -&gt; PIMS 에서 자동 연계</v>
      </c>
      <c r="E390" s="86"/>
      <c r="F390" s="87"/>
      <c r="H390" s="37" t="s">
        <v>1070</v>
      </c>
    </row>
    <row r="391" spans="2:8" x14ac:dyDescent="0.3">
      <c r="B391" s="90" t="s">
        <v>871</v>
      </c>
      <c r="C391" s="91"/>
      <c r="D391" s="88">
        <f>VLOOKUP(D387, '3. 요건기술서 전체'!$B:$L, 9, 0)</f>
        <v>0</v>
      </c>
      <c r="E391" s="88"/>
      <c r="F391" s="89"/>
      <c r="H391" s="37">
        <v>0</v>
      </c>
    </row>
    <row r="392" spans="2:8" ht="15.75" thickBot="1" x14ac:dyDescent="0.35">
      <c r="B392" s="92" t="s">
        <v>47</v>
      </c>
      <c r="C392" s="93"/>
      <c r="D392" s="99">
        <f>VLOOKUP($D387,'3. 요건기술서 전체'!$B:$L,2,0)</f>
        <v>0</v>
      </c>
      <c r="E392" s="100"/>
      <c r="F392" s="101"/>
      <c r="H392" s="37">
        <v>0</v>
      </c>
    </row>
    <row r="393" spans="2:8" ht="15.75" thickBot="1" x14ac:dyDescent="0.35"/>
    <row r="394" spans="2:8" x14ac:dyDescent="0.3">
      <c r="B394" s="96" t="s">
        <v>41</v>
      </c>
      <c r="C394" s="97"/>
      <c r="D394" s="30" t="s">
        <v>53</v>
      </c>
      <c r="E394" s="31" t="s">
        <v>131</v>
      </c>
      <c r="F394" s="32" t="str">
        <f>VLOOKUP($D395,'3. 요건기술서 전체'!$B:$L,6,0)</f>
        <v>필수</v>
      </c>
      <c r="H394" s="36" t="s">
        <v>689</v>
      </c>
    </row>
    <row r="395" spans="2:8" x14ac:dyDescent="0.3">
      <c r="B395" s="94" t="s">
        <v>42</v>
      </c>
      <c r="C395" s="95"/>
      <c r="D395" s="33" t="str">
        <f>LEFT(D387,3)&amp;"-"&amp;TEXT(VALUE(RIGHT(D387,3))+1,"000")</f>
        <v>SFR-049</v>
      </c>
      <c r="E395" s="34" t="s">
        <v>85</v>
      </c>
      <c r="F395" s="35" t="str">
        <f>IFERROR(TRIM(IF(VLOOKUP($D395,'3. 요건기술서 전체'!$B:$L,10,0)&lt;&gt;"",IF(VLOOKUP($D395,'3. 요건기술서 전체'!$B:$L,10,0)="O", "한난O", IF(VLOOKUP($D395,'3. 요건기술서 전체'!$B:$L,10,0)="X", "한난X", "")),"") &amp; " " &amp;IF(VLOOKUP($D395,'3. 요건기술서 전체'!$B:$L,11,0)&lt;&gt;"",IF(VLOOKUP($D395,'3. 요건기술서 전체'!$B:$L,11,0)="O", "외부O", IF(VLOOKUP($D395,'3. 요건기술서 전체'!$B:$L,11,0)="X", "외부X", "")),"")),"")</f>
        <v/>
      </c>
      <c r="H395" s="36" t="s">
        <v>390</v>
      </c>
    </row>
    <row r="396" spans="2:8" x14ac:dyDescent="0.3">
      <c r="B396" s="94" t="s">
        <v>43</v>
      </c>
      <c r="C396" s="95"/>
      <c r="D396" s="85" t="str">
        <f>VLOOKUP($D395,'3. 요건기술서 전체'!$B:$L,5,0)</f>
        <v>건설정보시스템 메인화면 -상단메뉴</v>
      </c>
      <c r="E396" s="86"/>
      <c r="F396" s="87"/>
      <c r="H396" s="37" t="s">
        <v>804</v>
      </c>
    </row>
    <row r="397" spans="2:8" x14ac:dyDescent="0.3">
      <c r="B397" s="98" t="s">
        <v>44</v>
      </c>
      <c r="C397" s="43" t="s">
        <v>45</v>
      </c>
      <c r="D397" s="85" t="str">
        <f>VLOOKUP($D395,'3. 요건기술서 전체'!$B:$L,7,0)</f>
        <v>건설정보시스템 상단메뉴 메인화면 기능(프로젝트와 무관하게 상시 조회 가능한 메뉴로 구성)</v>
      </c>
      <c r="E397" s="86"/>
      <c r="F397" s="87"/>
      <c r="H397" s="37" t="s">
        <v>558</v>
      </c>
    </row>
    <row r="398" spans="2:8" ht="267.75" x14ac:dyDescent="0.3">
      <c r="B398" s="98"/>
      <c r="C398" s="43" t="s">
        <v>46</v>
      </c>
      <c r="D398" s="85" t="str">
        <f>VLOOKUP($D395,'3. 요건기술서 전체'!$B:$L,8,0)</f>
        <v>○ 대시보드는 [프로젝트명, 요청업무, DELAY, 통합검색]으로 구성
○ 프로젝트명은 [진행 프로젝트, 당해년도 완료 프로젝트]로 구성
 - 진행 프로젝트는 아직 완료되지 않은 프로젝트들이며, 진행 프로젝트가 완료 처리되면 완료 프로젝트 목록에 해당 프로젝트가 나열
 - 각 프로젝트 리스트는 건설지사 단위의 트리구조로 구성되며, 건설지사 클릭 시 해당 지사 하위 프로젝트가 나열되는 직관적인 리스트로 구성
 - 프로젝트 리스트 트리구조는 원하는 구성으로 수정가능
 - 특정 프로젝트 선택 시 해당 프로젝트의 메인화면 팝업으로 이동
 - 건설공사(명칭 : 기본설계용역, 실시설계용역, 주기기구매, 건설공사) / 사급자재 구매 ZONE 으로 분류하며, 상하로 분리 
○ 요청업무는 [오늘 할일, 결재완료]로 구성
 - 오늘 할일 : 검토중인 문서로, 결재완료하기 전까지 남아있으며, DELAY는 카운팅 되는 구조
 - 결재완료 : 결재완료 처리된 문서, 다른분야 처리사항도 체크가능함 
 - 각 요청업무는 [문서송부전/처리전, SUBMITTAL 의뢰서/의견서, 업무지시전/업무처리전]으로 구성
 - 문서번호는 우리공사 건설업무지침서 준용(분야별, 기자재별 번호 별도 부여)
 - 계약명, 제목, 공통된 내용, 작성일, 문서번호 등이 리스트로 구성되며, 해당 건 클릭 시 팝업으로 업무 처리
○ DELAY 는 오늘할일 옆 숫자로 구성되며, 색깔로 위험을 구분
   (예시 : D -5 보라, D -3 파랑, D -2 녹색, D -1 노랑, D -DAY 주황, D+1 빨강)
○ 통합검색
 - 제목, 내용, 첨부파일명, 첨부파일내용, 상세검색, 논리검색 등 모든 정보의 검색
 - 성과물 처리 현황 검색
 - 성과물 변경 이력 내역 검색
 - 모든 조회 화면의 개별 필드 확장/정렬 기능
 - 부여된 권한에 따라 본인 프로젝트 외 진행중인 타프로젝트의 건설자료 조회 기능</v>
      </c>
      <c r="E398" s="86"/>
      <c r="F398" s="87"/>
      <c r="H398" s="37" t="s">
        <v>805</v>
      </c>
    </row>
    <row r="399" spans="2:8" x14ac:dyDescent="0.3">
      <c r="B399" s="90" t="s">
        <v>871</v>
      </c>
      <c r="C399" s="91"/>
      <c r="D399" s="88">
        <f>VLOOKUP(D395, '3. 요건기술서 전체'!$B:$L, 9, 0)</f>
        <v>0</v>
      </c>
      <c r="E399" s="88"/>
      <c r="F399" s="89"/>
      <c r="H399" s="37">
        <v>0</v>
      </c>
    </row>
    <row r="400" spans="2:8" ht="15.75" thickBot="1" x14ac:dyDescent="0.35">
      <c r="B400" s="92" t="s">
        <v>47</v>
      </c>
      <c r="C400" s="93"/>
      <c r="D400" s="99">
        <f>VLOOKUP($D395,'3. 요건기술서 전체'!$B:$L,2,0)</f>
        <v>0</v>
      </c>
      <c r="E400" s="100"/>
      <c r="F400" s="101"/>
      <c r="H400" s="44">
        <v>0</v>
      </c>
    </row>
    <row r="401" spans="2:8" ht="15.75" thickBot="1" x14ac:dyDescent="0.35">
      <c r="H401" s="36"/>
    </row>
    <row r="402" spans="2:8" x14ac:dyDescent="0.3">
      <c r="B402" s="96" t="s">
        <v>41</v>
      </c>
      <c r="C402" s="97"/>
      <c r="D402" s="30" t="s">
        <v>53</v>
      </c>
      <c r="E402" s="31" t="s">
        <v>131</v>
      </c>
      <c r="F402" s="32" t="str">
        <f>VLOOKUP($D403,'3. 요건기술서 전체'!$B:$L,6,0)</f>
        <v>필수</v>
      </c>
      <c r="H402" s="36" t="s">
        <v>689</v>
      </c>
    </row>
    <row r="403" spans="2:8" x14ac:dyDescent="0.3">
      <c r="B403" s="94" t="s">
        <v>42</v>
      </c>
      <c r="C403" s="95"/>
      <c r="D403" s="33" t="str">
        <f>LEFT(D395,3)&amp;"-"&amp;TEXT(VALUE(RIGHT(D395,3))+1,"000")</f>
        <v>SFR-050</v>
      </c>
      <c r="E403" s="34" t="s">
        <v>85</v>
      </c>
      <c r="F403" s="35" t="str">
        <f>IFERROR(TRIM(IF(VLOOKUP($D403,'3. 요건기술서 전체'!$B:$L,10,0)&lt;&gt;"",IF(VLOOKUP($D403,'3. 요건기술서 전체'!$B:$L,10,0)="O", "한난O", IF(VLOOKUP($D403,'3. 요건기술서 전체'!$B:$L,10,0)="X", "한난X", "")),"") &amp; " " &amp;IF(VLOOKUP($D403,'3. 요건기술서 전체'!$B:$L,11,0)&lt;&gt;"",IF(VLOOKUP($D403,'3. 요건기술서 전체'!$B:$L,11,0)="O", "외부O", IF(VLOOKUP($D403,'3. 요건기술서 전체'!$B:$L,11,0)="X", "외부X", "")),"")),"")</f>
        <v/>
      </c>
      <c r="H403" s="37" t="s">
        <v>391</v>
      </c>
    </row>
    <row r="404" spans="2:8" x14ac:dyDescent="0.3">
      <c r="B404" s="94" t="s">
        <v>43</v>
      </c>
      <c r="C404" s="95"/>
      <c r="D404" s="85" t="str">
        <f>VLOOKUP($D403,'3. 요건기술서 전체'!$B:$L,5,0)</f>
        <v>프로젝트 메인화면 -대시보드</v>
      </c>
      <c r="E404" s="86"/>
      <c r="F404" s="87"/>
      <c r="H404" s="37" t="s">
        <v>806</v>
      </c>
    </row>
    <row r="405" spans="2:8" x14ac:dyDescent="0.3">
      <c r="B405" s="98" t="s">
        <v>44</v>
      </c>
      <c r="C405" s="43" t="s">
        <v>45</v>
      </c>
      <c r="D405" s="85" t="str">
        <f>VLOOKUP($D403,'3. 요건기술서 전체'!$B:$L,7,0)</f>
        <v>프로젝트별 메인화면 중 대시보드 기능</v>
      </c>
      <c r="E405" s="86"/>
      <c r="F405" s="87"/>
      <c r="H405" s="37" t="s">
        <v>559</v>
      </c>
    </row>
    <row r="406" spans="2:8" ht="127.5" x14ac:dyDescent="0.3">
      <c r="B406" s="98"/>
      <c r="C406" s="43" t="s">
        <v>46</v>
      </c>
      <c r="D406" s="85" t="str">
        <f>VLOOKUP($D403,'3. 요건기술서 전체'!$B:$L,8,0)</f>
        <v>○ 프로젝트 정보는 프로젝트 기본정보(계약사항 등), 프로젝트 진행상태 등 프로젝트 관련 정보 표시
○ 요청업무는 해당 프로젝트에 대한 [오늘 할일, 결재완료]로 구성
 - 요청업무 알림을 개인 환경설정에 따라 수신
 - 요청한 일에 대한 진행 상태를 체크
 - 요청받은 문서를 재배포·공람
 - 요청받은 문서에 대한 의견의 취합
 - 재전송(Revision) 문서를 목록에 표시
 - 완료된 요청 건은 별도로 관리하여 조회
○ DELAY은 해당 프로젝트 도면검토 사항에 대한 숫자 지연으로 표기
 - 마감임박( -3일~ -1일), 지연(+1일이후~) 건에 대한 알람 설정으로 표기</v>
      </c>
      <c r="E406" s="86"/>
      <c r="F406" s="87"/>
      <c r="H406" s="37" t="s">
        <v>807</v>
      </c>
    </row>
    <row r="407" spans="2:8" x14ac:dyDescent="0.3">
      <c r="B407" s="90" t="s">
        <v>871</v>
      </c>
      <c r="C407" s="91"/>
      <c r="D407" s="88">
        <f>VLOOKUP(D403, '3. 요건기술서 전체'!$B:$L, 9, 0)</f>
        <v>0</v>
      </c>
      <c r="E407" s="88"/>
      <c r="F407" s="89"/>
      <c r="H407" s="44">
        <v>0</v>
      </c>
    </row>
    <row r="408" spans="2:8" ht="15.75" thickBot="1" x14ac:dyDescent="0.35">
      <c r="B408" s="92" t="s">
        <v>47</v>
      </c>
      <c r="C408" s="93"/>
      <c r="D408" s="99">
        <f>VLOOKUP($D403,'3. 요건기술서 전체'!$B:$L,2,0)</f>
        <v>0</v>
      </c>
      <c r="E408" s="100"/>
      <c r="F408" s="101"/>
      <c r="H408" s="36">
        <v>0</v>
      </c>
    </row>
    <row r="409" spans="2:8" ht="15.75" thickBot="1" x14ac:dyDescent="0.35">
      <c r="H409" s="36"/>
    </row>
    <row r="410" spans="2:8" x14ac:dyDescent="0.3">
      <c r="B410" s="96" t="s">
        <v>41</v>
      </c>
      <c r="C410" s="97"/>
      <c r="D410" s="30" t="s">
        <v>53</v>
      </c>
      <c r="E410" s="31" t="s">
        <v>131</v>
      </c>
      <c r="F410" s="32" t="str">
        <f>VLOOKUP($D411,'3. 요건기술서 전체'!$B:$L,6,0)</f>
        <v>필수</v>
      </c>
      <c r="H410" s="37" t="s">
        <v>689</v>
      </c>
    </row>
    <row r="411" spans="2:8" x14ac:dyDescent="0.3">
      <c r="B411" s="94" t="s">
        <v>42</v>
      </c>
      <c r="C411" s="95"/>
      <c r="D411" s="33" t="str">
        <f>LEFT(D403,3)&amp;"-"&amp;TEXT(VALUE(RIGHT(D403,3))+1,"000")</f>
        <v>SFR-051</v>
      </c>
      <c r="E411" s="34" t="s">
        <v>85</v>
      </c>
      <c r="F411" s="35" t="str">
        <f>IFERROR(TRIM(IF(VLOOKUP($D411,'3. 요건기술서 전체'!$B:$L,10,0)&lt;&gt;"",IF(VLOOKUP($D411,'3. 요건기술서 전체'!$B:$L,10,0)="O", "한난O", IF(VLOOKUP($D411,'3. 요건기술서 전체'!$B:$L,10,0)="X", "한난X", "")),"") &amp; " " &amp;IF(VLOOKUP($D411,'3. 요건기술서 전체'!$B:$L,11,0)&lt;&gt;"",IF(VLOOKUP($D411,'3. 요건기술서 전체'!$B:$L,11,0)="O", "외부O", IF(VLOOKUP($D411,'3. 요건기술서 전체'!$B:$L,11,0)="X", "외부X", "")),"")),"")</f>
        <v/>
      </c>
      <c r="H411" s="37" t="s">
        <v>392</v>
      </c>
    </row>
    <row r="412" spans="2:8" x14ac:dyDescent="0.3">
      <c r="B412" s="94" t="s">
        <v>43</v>
      </c>
      <c r="C412" s="95"/>
      <c r="D412" s="85" t="str">
        <f>VLOOKUP($D411,'3. 요건기술서 전체'!$B:$L,5,0)</f>
        <v>프로젝트 메인화면 -좌측메뉴</v>
      </c>
      <c r="E412" s="86"/>
      <c r="F412" s="87"/>
      <c r="H412" s="37" t="s">
        <v>808</v>
      </c>
    </row>
    <row r="413" spans="2:8" x14ac:dyDescent="0.3">
      <c r="B413" s="98" t="s">
        <v>44</v>
      </c>
      <c r="C413" s="43" t="s">
        <v>45</v>
      </c>
      <c r="D413" s="85" t="str">
        <f>VLOOKUP($D411,'3. 요건기술서 전체'!$B:$L,7,0)</f>
        <v>프로젝트별 메인화면 중 좌측메뉴 기능</v>
      </c>
      <c r="E413" s="86"/>
      <c r="F413" s="87"/>
      <c r="H413" s="37" t="s">
        <v>560</v>
      </c>
    </row>
    <row r="414" spans="2:8" ht="102" x14ac:dyDescent="0.3">
      <c r="B414" s="98"/>
      <c r="C414" s="43" t="s">
        <v>46</v>
      </c>
      <c r="D414" s="85" t="str">
        <f>VLOOKUP($D411,'3. 요건기술서 전체'!$B:$L,8,0)</f>
        <v>○ 메뉴는 [프로젝트 정보, 협업, 품질관리]로 구성
○ 메뉴는 트리구조 메뉴가 직관적으로 나열
○ 프로젝트 정보는 [개요, 조직도]으로 구성
○ 협업은 [문서송부전/처리전, SUBMITTAL 의뢰서/의견서, 업무지시전/업무처리전]으로 구성
○ 품질관리는 [입회신청서, 입회결과서]으로 구성 
 - 조직도는 해당 프로젝트 관련 인력POOL이 트리구조로 표시하며,
 - (참조용, 승인용, 건설용) 건설처 모든 직원이 검색 가능토록 하되, 프로젝트 지정한것만 검토의견 달수 있음
 - (준공용 -PIMS 이관) 모든 직원이 볼 수 있으며, 이력관리에 대해서는 건설처 직원만 볼 수 있음</v>
      </c>
      <c r="E414" s="86"/>
      <c r="F414" s="87"/>
      <c r="H414" s="44" t="s">
        <v>809</v>
      </c>
    </row>
    <row r="415" spans="2:8" x14ac:dyDescent="0.3">
      <c r="B415" s="90" t="s">
        <v>871</v>
      </c>
      <c r="C415" s="91"/>
      <c r="D415" s="88">
        <f>VLOOKUP(D411, '3. 요건기술서 전체'!$B:$L, 9, 0)</f>
        <v>0</v>
      </c>
      <c r="E415" s="88"/>
      <c r="F415" s="89"/>
      <c r="H415" s="36">
        <v>0</v>
      </c>
    </row>
    <row r="416" spans="2:8" ht="15.75" thickBot="1" x14ac:dyDescent="0.35">
      <c r="B416" s="92" t="s">
        <v>47</v>
      </c>
      <c r="C416" s="93"/>
      <c r="D416" s="99">
        <f>VLOOKUP($D411,'3. 요건기술서 전체'!$B:$L,2,0)</f>
        <v>0</v>
      </c>
      <c r="E416" s="100"/>
      <c r="F416" s="101"/>
      <c r="H416" s="36">
        <v>0</v>
      </c>
    </row>
    <row r="417" spans="2:8" ht="15.75" thickBot="1" x14ac:dyDescent="0.35">
      <c r="H417" s="37"/>
    </row>
    <row r="418" spans="2:8" x14ac:dyDescent="0.3">
      <c r="B418" s="96" t="s">
        <v>41</v>
      </c>
      <c r="C418" s="97"/>
      <c r="D418" s="30" t="s">
        <v>53</v>
      </c>
      <c r="E418" s="31" t="s">
        <v>131</v>
      </c>
      <c r="F418" s="32" t="str">
        <f>VLOOKUP($D419,'3. 요건기술서 전체'!$B:$L,6,0)</f>
        <v>필수</v>
      </c>
      <c r="H418" s="37" t="s">
        <v>689</v>
      </c>
    </row>
    <row r="419" spans="2:8" x14ac:dyDescent="0.3">
      <c r="B419" s="94" t="s">
        <v>42</v>
      </c>
      <c r="C419" s="95"/>
      <c r="D419" s="33" t="str">
        <f>LEFT(D411,3)&amp;"-"&amp;TEXT(VALUE(RIGHT(D411,3))+1,"000")</f>
        <v>SFR-052</v>
      </c>
      <c r="E419" s="34" t="s">
        <v>85</v>
      </c>
      <c r="F419" s="35" t="str">
        <f>IFERROR(TRIM(IF(VLOOKUP($D419,'3. 요건기술서 전체'!$B:$L,10,0)&lt;&gt;"",IF(VLOOKUP($D419,'3. 요건기술서 전체'!$B:$L,10,0)="O", "한난O", IF(VLOOKUP($D419,'3. 요건기술서 전체'!$B:$L,10,0)="X", "한난X", "")),"") &amp; " " &amp;IF(VLOOKUP($D419,'3. 요건기술서 전체'!$B:$L,11,0)&lt;&gt;"",IF(VLOOKUP($D419,'3. 요건기술서 전체'!$B:$L,11,0)="O", "외부O", IF(VLOOKUP($D419,'3. 요건기술서 전체'!$B:$L,11,0)="X", "외부X", "")),"")),"")</f>
        <v/>
      </c>
      <c r="H419" s="37" t="s">
        <v>393</v>
      </c>
    </row>
    <row r="420" spans="2:8" x14ac:dyDescent="0.3">
      <c r="B420" s="94" t="s">
        <v>43</v>
      </c>
      <c r="C420" s="95"/>
      <c r="D420" s="85" t="str">
        <f>VLOOKUP($D419,'3. 요건기술서 전체'!$B:$L,5,0)</f>
        <v>프로젝트 정보</v>
      </c>
      <c r="E420" s="86"/>
      <c r="F420" s="87"/>
      <c r="H420" s="37" t="s">
        <v>394</v>
      </c>
    </row>
    <row r="421" spans="2:8" x14ac:dyDescent="0.3">
      <c r="B421" s="98" t="s">
        <v>44</v>
      </c>
      <c r="C421" s="43" t="s">
        <v>45</v>
      </c>
      <c r="D421" s="85" t="str">
        <f>VLOOKUP($D419,'3. 요건기술서 전체'!$B:$L,7,0)</f>
        <v>프로젝트 정보 기능</v>
      </c>
      <c r="E421" s="86"/>
      <c r="F421" s="87"/>
      <c r="H421" s="44" t="s">
        <v>561</v>
      </c>
    </row>
    <row r="422" spans="2:8" ht="38.25" x14ac:dyDescent="0.3">
      <c r="B422" s="98"/>
      <c r="C422" s="43" t="s">
        <v>46</v>
      </c>
      <c r="D422" s="85" t="str">
        <f>VLOOKUP($D419,'3. 요건기술서 전체'!$B:$L,8,0)</f>
        <v>○ 프로젝트 정보는 [조직도]으로 구성
 - 개요는 해당 프로젝트의 코드 등 표시
 - 조직도는 해당 프로젝트 관련 인력들이 트리구조로 표시</v>
      </c>
      <c r="E422" s="86"/>
      <c r="F422" s="87"/>
      <c r="H422" s="36" t="s">
        <v>810</v>
      </c>
    </row>
    <row r="423" spans="2:8" x14ac:dyDescent="0.3">
      <c r="B423" s="90" t="s">
        <v>871</v>
      </c>
      <c r="C423" s="91"/>
      <c r="D423" s="88">
        <f>VLOOKUP(D419, '3. 요건기술서 전체'!$B:$L, 9, 0)</f>
        <v>0</v>
      </c>
      <c r="E423" s="88"/>
      <c r="F423" s="89"/>
      <c r="H423" s="36">
        <v>0</v>
      </c>
    </row>
    <row r="424" spans="2:8" ht="15.75" thickBot="1" x14ac:dyDescent="0.35">
      <c r="B424" s="92" t="s">
        <v>47</v>
      </c>
      <c r="C424" s="93"/>
      <c r="D424" s="99">
        <f>VLOOKUP($D419,'3. 요건기술서 전체'!$B:$L,2,0)</f>
        <v>0</v>
      </c>
      <c r="E424" s="100"/>
      <c r="F424" s="101"/>
      <c r="H424" s="37">
        <v>0</v>
      </c>
    </row>
    <row r="425" spans="2:8" ht="15.75" thickBot="1" x14ac:dyDescent="0.35">
      <c r="H425" s="37"/>
    </row>
    <row r="426" spans="2:8" x14ac:dyDescent="0.3">
      <c r="B426" s="96" t="s">
        <v>41</v>
      </c>
      <c r="C426" s="97"/>
      <c r="D426" s="30" t="s">
        <v>53</v>
      </c>
      <c r="E426" s="31" t="s">
        <v>131</v>
      </c>
      <c r="F426" s="32" t="str">
        <f>VLOOKUP($D427,'3. 요건기술서 전체'!$B:$L,6,0)</f>
        <v>필수</v>
      </c>
      <c r="H426" s="37" t="s">
        <v>689</v>
      </c>
    </row>
    <row r="427" spans="2:8" x14ac:dyDescent="0.3">
      <c r="B427" s="94" t="s">
        <v>42</v>
      </c>
      <c r="C427" s="95"/>
      <c r="D427" s="33" t="str">
        <f>LEFT(D419,3)&amp;"-"&amp;TEXT(VALUE(RIGHT(D419,3))+1,"000")</f>
        <v>SFR-053</v>
      </c>
      <c r="E427" s="34" t="s">
        <v>85</v>
      </c>
      <c r="F427" s="35" t="str">
        <f>IFERROR(TRIM(IF(VLOOKUP($D427,'3. 요건기술서 전체'!$B:$L,10,0)&lt;&gt;"",IF(VLOOKUP($D427,'3. 요건기술서 전체'!$B:$L,10,0)="O", "한난O", IF(VLOOKUP($D427,'3. 요건기술서 전체'!$B:$L,10,0)="X", "한난X", "")),"") &amp; " " &amp;IF(VLOOKUP($D427,'3. 요건기술서 전체'!$B:$L,11,0)&lt;&gt;"",IF(VLOOKUP($D427,'3. 요건기술서 전체'!$B:$L,11,0)="O", "외부O", IF(VLOOKUP($D427,'3. 요건기술서 전체'!$B:$L,11,0)="X", "외부X", "")),"")),"")</f>
        <v/>
      </c>
      <c r="H427" s="37" t="s">
        <v>395</v>
      </c>
    </row>
    <row r="428" spans="2:8" x14ac:dyDescent="0.3">
      <c r="B428" s="94" t="s">
        <v>43</v>
      </c>
      <c r="C428" s="95"/>
      <c r="D428" s="85" t="str">
        <f>VLOOKUP($D427,'3. 요건기술서 전체'!$B:$L,5,0)</f>
        <v>협업 -문서송부전</v>
      </c>
      <c r="E428" s="86"/>
      <c r="F428" s="87"/>
      <c r="H428" s="44" t="s">
        <v>811</v>
      </c>
    </row>
    <row r="429" spans="2:8" x14ac:dyDescent="0.3">
      <c r="B429" s="98" t="s">
        <v>44</v>
      </c>
      <c r="C429" s="43" t="s">
        <v>45</v>
      </c>
      <c r="D429" s="85" t="str">
        <f>VLOOKUP($D427,'3. 요건기술서 전체'!$B:$L,7,0)</f>
        <v>건설사가 설계 성과물 제출을 위한 문서송부전 작성</v>
      </c>
      <c r="E429" s="86"/>
      <c r="F429" s="87"/>
      <c r="H429" s="36" t="s">
        <v>562</v>
      </c>
    </row>
    <row r="430" spans="2:8" ht="76.5" x14ac:dyDescent="0.3">
      <c r="B430" s="98"/>
      <c r="C430" s="43" t="s">
        <v>46</v>
      </c>
      <c r="D430" s="85" t="str">
        <f>VLOOKUP($D427,'3. 요건기술서 전체'!$B:$L,8,0)</f>
        <v>○ 메뉴는 [프로젝트 정보, 협업, 사업관리, 품질실적관리, 프로젝트폴더]로 구성
○ 메뉴는 트리구조 메뉴가 직관적으로 나열
○ 프로젝트 정보는 [개요, 조직도]으로 구성
○ 협업은 [문서송부전/처리전, Submittal 의뢰서/의견서, 업무지시전/처리전, 현황]으로 구성
○ 사업관리는 [DCL Setup, EDCL, VDCL]으로 구성
○ 품질실적관리는 [입회신청서, 입회결과서, 현황]으로 구성</v>
      </c>
      <c r="E430" s="86"/>
      <c r="F430" s="87"/>
      <c r="H430" s="36" t="s">
        <v>1071</v>
      </c>
    </row>
    <row r="431" spans="2:8" x14ac:dyDescent="0.3">
      <c r="B431" s="90" t="s">
        <v>871</v>
      </c>
      <c r="C431" s="91"/>
      <c r="D431" s="88">
        <f>VLOOKUP(D427, '3. 요건기술서 전체'!$B:$L, 9, 0)</f>
        <v>0</v>
      </c>
      <c r="E431" s="88"/>
      <c r="F431" s="89"/>
      <c r="H431" s="37">
        <v>0</v>
      </c>
    </row>
    <row r="432" spans="2:8" ht="15.75" thickBot="1" x14ac:dyDescent="0.35">
      <c r="B432" s="92" t="s">
        <v>47</v>
      </c>
      <c r="C432" s="93"/>
      <c r="D432" s="99">
        <f>VLOOKUP($D427,'3. 요건기술서 전체'!$B:$L,2,0)</f>
        <v>0</v>
      </c>
      <c r="E432" s="100"/>
      <c r="F432" s="101"/>
      <c r="H432" s="37">
        <v>0</v>
      </c>
    </row>
    <row r="433" spans="2:8" ht="15.75" thickBot="1" x14ac:dyDescent="0.35">
      <c r="H433" s="37"/>
    </row>
    <row r="434" spans="2:8" x14ac:dyDescent="0.3">
      <c r="B434" s="96" t="s">
        <v>41</v>
      </c>
      <c r="C434" s="97"/>
      <c r="D434" s="30" t="s">
        <v>53</v>
      </c>
      <c r="E434" s="31" t="s">
        <v>131</v>
      </c>
      <c r="F434" s="32" t="str">
        <f>VLOOKUP($D435,'3. 요건기술서 전체'!$B:$L,6,0)</f>
        <v>필수</v>
      </c>
      <c r="H434" s="37" t="s">
        <v>689</v>
      </c>
    </row>
    <row r="435" spans="2:8" x14ac:dyDescent="0.3">
      <c r="B435" s="94" t="s">
        <v>42</v>
      </c>
      <c r="C435" s="95"/>
      <c r="D435" s="33" t="str">
        <f>LEFT(D427,3)&amp;"-"&amp;TEXT(VALUE(RIGHT(D427,3))+1,"000")</f>
        <v>SFR-054</v>
      </c>
      <c r="E435" s="34" t="s">
        <v>85</v>
      </c>
      <c r="F435" s="35" t="str">
        <f>IFERROR(TRIM(IF(VLOOKUP($D435,'3. 요건기술서 전체'!$B:$L,10,0)&lt;&gt;"",IF(VLOOKUP($D435,'3. 요건기술서 전체'!$B:$L,10,0)="O", "한난O", IF(VLOOKUP($D435,'3. 요건기술서 전체'!$B:$L,10,0)="X", "한난X", "")),"") &amp; " " &amp;IF(VLOOKUP($D435,'3. 요건기술서 전체'!$B:$L,11,0)&lt;&gt;"",IF(VLOOKUP($D435,'3. 요건기술서 전체'!$B:$L,11,0)="O", "외부O", IF(VLOOKUP($D435,'3. 요건기술서 전체'!$B:$L,11,0)="X", "외부X", "")),"")),"")</f>
        <v/>
      </c>
      <c r="H435" s="44" t="s">
        <v>396</v>
      </c>
    </row>
    <row r="436" spans="2:8" x14ac:dyDescent="0.3">
      <c r="B436" s="94" t="s">
        <v>43</v>
      </c>
      <c r="C436" s="95"/>
      <c r="D436" s="85" t="str">
        <f>VLOOKUP($D435,'3. 요건기술서 전체'!$B:$L,5,0)</f>
        <v>협업 -문서처리전</v>
      </c>
      <c r="E436" s="86"/>
      <c r="F436" s="87"/>
      <c r="H436" s="36" t="s">
        <v>812</v>
      </c>
    </row>
    <row r="437" spans="2:8" x14ac:dyDescent="0.3">
      <c r="B437" s="98" t="s">
        <v>44</v>
      </c>
      <c r="C437" s="43" t="s">
        <v>45</v>
      </c>
      <c r="D437" s="85" t="str">
        <f>VLOOKUP($D435,'3. 요건기술서 전체'!$B:$L,7,0)</f>
        <v>문서송부전 작성결과를 검토하여 문서처리전으로 회신</v>
      </c>
      <c r="E437" s="86"/>
      <c r="F437" s="87"/>
      <c r="H437" s="36" t="s">
        <v>563</v>
      </c>
    </row>
    <row r="438" spans="2:8" ht="229.5" x14ac:dyDescent="0.3">
      <c r="B438" s="98"/>
      <c r="C438" s="43" t="s">
        <v>46</v>
      </c>
      <c r="D438" s="85" t="str">
        <f>VLOOKUP($D435,'3. 요건기술서 전체'!$B:$L,8,0)</f>
        <v>○ 문서처리전 작성(공사)
 - 접수 승인된 문서송부전에 대해 문서처리전의 작성 기능
 - 문서처리전 등록 시 문서번호는 분야에 따라 자동생성 기능
 - 선택한 DCL 검토결과의 일괄 입력 또는DCL별 검토결과 입력 기능
 - 검토결과는 승인, 미승인, 조건부 승인( -&gt;수정요청) 등으로 구분하고 검토의견 작성 기능
 - 주관 프로젝트 담당자는 배포된 DCL에 대한 각 팀의 검토 의견 취합 기능
 - 설계 용역사에게 배포 시 설계 용역사의 검토 의견을 검토결과에 포함 기능 
 - 문서처리전 작성 시 취합된 각 분야(기계, 전기, 제어 등)의 검토의견(승인, 미승인, 조건부 승인( -&gt;수정요청) 등)이 자동 입력 및 수정 기능 
 - 검토의견 작성 시 파일의 개별/일괄 첨부 기능
 - 문서처리전 작성 시 문서송부전의 접수내용의 자동 등록 및 수정 기능
 - 임시저장 및 임시저장 문서함에서 재작성 기능
○ 문서처리전 승인(공사)
 - 검토의견 작성을 완료하고 승인자에게 승인요청 기능
 - DCL 문서처리전을 저장하고 DCL 첨부목록에서 조회 기능
 - 승인자가 DCL 첨부파일 목록의 보기 버튼을 클릭하여 DCL 검토의견 확인 기능
 - 기안자 및 결재권자는 DCL 문서처리전을 승인, 워크플로우 이력조회, 반려처리 기능
 - 최종 승인자에 PM이 자동 입력되고, 변경지정 기능
 - 결재 완료 후 건설사의 프로젝트 폴더로 송부 기능</v>
      </c>
      <c r="E438" s="86"/>
      <c r="F438" s="87"/>
      <c r="H438" s="37" t="s">
        <v>813</v>
      </c>
    </row>
    <row r="439" spans="2:8" x14ac:dyDescent="0.3">
      <c r="B439" s="90" t="s">
        <v>871</v>
      </c>
      <c r="C439" s="91"/>
      <c r="D439" s="88">
        <f>VLOOKUP(D435, '3. 요건기술서 전체'!$B:$L, 9, 0)</f>
        <v>0</v>
      </c>
      <c r="E439" s="88"/>
      <c r="F439" s="89"/>
      <c r="H439" s="37">
        <v>0</v>
      </c>
    </row>
    <row r="440" spans="2:8" ht="15.75" thickBot="1" x14ac:dyDescent="0.35">
      <c r="B440" s="92" t="s">
        <v>47</v>
      </c>
      <c r="C440" s="93"/>
      <c r="D440" s="99">
        <f>VLOOKUP($D435,'3. 요건기술서 전체'!$B:$L,2,0)</f>
        <v>0</v>
      </c>
      <c r="E440" s="100"/>
      <c r="F440" s="101"/>
      <c r="H440" s="37">
        <v>0</v>
      </c>
    </row>
    <row r="441" spans="2:8" ht="15.75" thickBot="1" x14ac:dyDescent="0.35">
      <c r="H441" s="37"/>
    </row>
    <row r="442" spans="2:8" x14ac:dyDescent="0.3">
      <c r="B442" s="96" t="s">
        <v>41</v>
      </c>
      <c r="C442" s="97"/>
      <c r="D442" s="30" t="s">
        <v>53</v>
      </c>
      <c r="E442" s="31" t="s">
        <v>131</v>
      </c>
      <c r="F442" s="32" t="str">
        <f>VLOOKUP($D443,'3. 요건기술서 전체'!$B:$L,6,0)</f>
        <v>필수</v>
      </c>
      <c r="H442" s="44" t="s">
        <v>689</v>
      </c>
    </row>
    <row r="443" spans="2:8" x14ac:dyDescent="0.3">
      <c r="B443" s="94" t="s">
        <v>42</v>
      </c>
      <c r="C443" s="95"/>
      <c r="D443" s="33" t="str">
        <f>LEFT(D435,3)&amp;"-"&amp;TEXT(VALUE(RIGHT(D435,3))+1,"000")</f>
        <v>SFR-055</v>
      </c>
      <c r="E443" s="34" t="s">
        <v>85</v>
      </c>
      <c r="F443" s="35" t="str">
        <f>IFERROR(TRIM(IF(VLOOKUP($D443,'3. 요건기술서 전체'!$B:$L,10,0)&lt;&gt;"",IF(VLOOKUP($D443,'3. 요건기술서 전체'!$B:$L,10,0)="O", "한난O", IF(VLOOKUP($D443,'3. 요건기술서 전체'!$B:$L,10,0)="X", "한난X", "")),"") &amp; " " &amp;IF(VLOOKUP($D443,'3. 요건기술서 전체'!$B:$L,11,0)&lt;&gt;"",IF(VLOOKUP($D443,'3. 요건기술서 전체'!$B:$L,11,0)="O", "외부O", IF(VLOOKUP($D443,'3. 요건기술서 전체'!$B:$L,11,0)="X", "외부X", "")),"")),"")</f>
        <v/>
      </c>
      <c r="H443" s="36" t="s">
        <v>397</v>
      </c>
    </row>
    <row r="444" spans="2:8" x14ac:dyDescent="0.3">
      <c r="B444" s="94" t="s">
        <v>43</v>
      </c>
      <c r="C444" s="95"/>
      <c r="D444" s="85" t="str">
        <f>VLOOKUP($D443,'3. 요건기술서 전체'!$B:$L,5,0)</f>
        <v>협업 -Submittal 검토의뢰서</v>
      </c>
      <c r="E444" s="86"/>
      <c r="F444" s="87"/>
      <c r="H444" s="36" t="s">
        <v>814</v>
      </c>
    </row>
    <row r="445" spans="2:8" x14ac:dyDescent="0.3">
      <c r="B445" s="98" t="s">
        <v>44</v>
      </c>
      <c r="C445" s="43" t="s">
        <v>45</v>
      </c>
      <c r="D445" s="85" t="str">
        <f>VLOOKUP($D443,'3. 요건기술서 전체'!$B:$L,7,0)</f>
        <v>건설사가 Vender Print 성과물 제출을 위한 Submittal 검토의뢰서 작성</v>
      </c>
      <c r="E445" s="86"/>
      <c r="F445" s="87"/>
      <c r="H445" s="37" t="s">
        <v>564</v>
      </c>
    </row>
    <row r="446" spans="2:8" ht="216.75" x14ac:dyDescent="0.3">
      <c r="B446" s="98"/>
      <c r="C446" s="43" t="s">
        <v>46</v>
      </c>
      <c r="D446" s="85" t="str">
        <f>VLOOKUP($D443,'3. 요건기술서 전체'!$B:$L,8,0)</f>
        <v>○ Submittal 검토의뢰서 작성 및 완료(협력사)
 - Submittal 검토의뢰서를 주관부서별(기계, 전기, 제어, 토건, 품질 등) 프로젝트 폴더에 선택하여 등록
 - Submittal 검토의뢰서 등록 시 일련번호 입력 기능
 - DCL 승인 주관 프로젝트 폴더 선택 입력 기능
 - 발신처, 수신처, 참조, 등록일자, 내용 입력 기능
 - Submittal 검토의뢰서 등록 시 DCL이 다른 문서에서 진행중인 경우 해당 정보 제공 기능
 - Submittal 검토의뢰서에 DCL 추가 및 동시 선택 기능
 - Submittal 검토의뢰서가 저장되고 DCL 승인 주관 프로젝트 폴더로 전송 기능
 - 반려된 Submittal 검토의뢰서는 수정 후 재전송 기능
 - 미승인, 조건부 승인된 Submittal 검토의견서는 수정 후 재전송 기능(Revision)
 - 임시저장 및 임시저장 문서함에서 재작성 기능
○ Submittal 검토의뢰서 접수(공사)
 - 접수 승인 시 검토자에 PM이 자동 입력되고, 변경지정 기능
 - 설정된 배포처가 자동 선택되고 필요시 추가/제거 기능
 - 설계 용역사에게 배포가 필요한 경우 배포 기능
 - 승인처리, 이력조회, 반려 기능
 - 반려 시 작성자에게 반려 처리 기능</v>
      </c>
      <c r="E446" s="86"/>
      <c r="F446" s="87"/>
      <c r="H446" s="37" t="s">
        <v>815</v>
      </c>
    </row>
    <row r="447" spans="2:8" x14ac:dyDescent="0.3">
      <c r="B447" s="90" t="s">
        <v>871</v>
      </c>
      <c r="C447" s="91"/>
      <c r="D447" s="88">
        <f>VLOOKUP(D443, '3. 요건기술서 전체'!$B:$L, 9, 0)</f>
        <v>0</v>
      </c>
      <c r="E447" s="88"/>
      <c r="F447" s="89"/>
      <c r="H447" s="37">
        <v>0</v>
      </c>
    </row>
    <row r="448" spans="2:8" ht="15.75" thickBot="1" x14ac:dyDescent="0.35">
      <c r="B448" s="92" t="s">
        <v>47</v>
      </c>
      <c r="C448" s="93"/>
      <c r="D448" s="99">
        <f>VLOOKUP($D443,'3. 요건기술서 전체'!$B:$L,2,0)</f>
        <v>0</v>
      </c>
      <c r="E448" s="100"/>
      <c r="F448" s="101"/>
      <c r="H448" s="37">
        <v>0</v>
      </c>
    </row>
    <row r="449" spans="2:8" ht="15.75" thickBot="1" x14ac:dyDescent="0.35"/>
    <row r="450" spans="2:8" x14ac:dyDescent="0.3">
      <c r="B450" s="96" t="s">
        <v>41</v>
      </c>
      <c r="C450" s="97"/>
      <c r="D450" s="30" t="s">
        <v>53</v>
      </c>
      <c r="E450" s="31" t="s">
        <v>131</v>
      </c>
      <c r="F450" s="32" t="str">
        <f>VLOOKUP($D451,'3. 요건기술서 전체'!$B:$L,6,0)</f>
        <v>필수</v>
      </c>
      <c r="H450" s="36" t="s">
        <v>689</v>
      </c>
    </row>
    <row r="451" spans="2:8" x14ac:dyDescent="0.3">
      <c r="B451" s="94" t="s">
        <v>42</v>
      </c>
      <c r="C451" s="95"/>
      <c r="D451" s="33" t="str">
        <f>LEFT(D443,3)&amp;"-"&amp;TEXT(VALUE(RIGHT(D443,3))+1,"000")</f>
        <v>SFR-056</v>
      </c>
      <c r="E451" s="34" t="s">
        <v>85</v>
      </c>
      <c r="F451" s="35" t="str">
        <f>IFERROR(TRIM(IF(VLOOKUP($D451,'3. 요건기술서 전체'!$B:$L,10,0)&lt;&gt;"",IF(VLOOKUP($D451,'3. 요건기술서 전체'!$B:$L,10,0)="O", "한난O", IF(VLOOKUP($D451,'3. 요건기술서 전체'!$B:$L,10,0)="X", "한난X", "")),"") &amp; " " &amp;IF(VLOOKUP($D451,'3. 요건기술서 전체'!$B:$L,11,0)&lt;&gt;"",IF(VLOOKUP($D451,'3. 요건기술서 전체'!$B:$L,11,0)="O", "외부O", IF(VLOOKUP($D451,'3. 요건기술서 전체'!$B:$L,11,0)="X", "외부X", "")),"")),"")</f>
        <v/>
      </c>
      <c r="H451" s="36" t="s">
        <v>398</v>
      </c>
    </row>
    <row r="452" spans="2:8" x14ac:dyDescent="0.3">
      <c r="B452" s="94" t="s">
        <v>43</v>
      </c>
      <c r="C452" s="95"/>
      <c r="D452" s="85" t="str">
        <f>VLOOKUP($D451,'3. 요건기술서 전체'!$B:$L,5,0)</f>
        <v>협업 -Submittal 검토의견서</v>
      </c>
      <c r="E452" s="86"/>
      <c r="F452" s="87"/>
      <c r="H452" s="37" t="s">
        <v>817</v>
      </c>
    </row>
    <row r="453" spans="2:8" x14ac:dyDescent="0.3">
      <c r="B453" s="98" t="s">
        <v>44</v>
      </c>
      <c r="C453" s="43" t="s">
        <v>45</v>
      </c>
      <c r="D453" s="85" t="str">
        <f>VLOOKUP($D451,'3. 요건기술서 전체'!$B:$L,7,0)</f>
        <v>각 부서 담당자가 결과를 검토하여 Submittal 검토의견서 회신</v>
      </c>
      <c r="E453" s="86"/>
      <c r="F453" s="87"/>
      <c r="H453" s="37" t="s">
        <v>565</v>
      </c>
    </row>
    <row r="454" spans="2:8" ht="229.5" x14ac:dyDescent="0.3">
      <c r="B454" s="98"/>
      <c r="C454" s="43" t="s">
        <v>46</v>
      </c>
      <c r="D454" s="85" t="str">
        <f>VLOOKUP($D451,'3. 요건기술서 전체'!$B:$L,8,0)</f>
        <v>○ Submittal 검토의견서 작성(공사)
 - 접수 승인 완료된 Submittal 검토의뢰서에 대해 Submittal 검토의견서 작성 기능
 - Submittal 검토의견서 등록 시 문서번호는 분야에 따라 자동생성 기능
 - 선택한 DCL에 대한 검토결과를 일괄 입력 또는 DCL별로 검토결과 입력 기능
 - 검토결과는 승인, 미승인, 조건부 승인 등 구분 및 검토의견 작성 기능
 - 주관 프로젝트 담당자는 배포된 DCL에 대한 각 팀의 검토 의견 취합 기능
 - 설계 용역사에게 배포 시 설계 용역사 검토 의견의 검토결과에 포함 기능
 - 검토의견서 작성 시 취합된 각 팀의 검토의견(승인, 미승인, 조건부 승인등)이 자동 입력 및 수정 기능 
 - 검토의견 작성 시 파일을 개별/일괄 첨부 기능
 - 검토의견서 작성 시 검토의뢰서 접수내용이 자동 등록 및 수정 기능
 - 임시저장 및 임시저장 문서함에서 재작성 기능
○ Submittal 검토의견서 승인(공사)
 - 검토의견 작성을 완료하고 승인자에게 승인요청 기능
 - DCL 검토의견서를 저장하고 DCL 첨부목록에서 조회 기능
 - 승인자가 DCL 첨부파일 목록의 보기버튼을 클릭하여 DCL 검토의견 확인 기능
 - 기안자 및 결재권자는 DCL 검토의견서를 승인, 워크플로우 이력조회, 반려처리 기능
 - 최종 승인자에 PM이 자동 입력되고, 변경지정 기능
 - 결재 완료 후 건설사의 프로젝트 폴더로 송부 기능</v>
      </c>
      <c r="E454" s="86"/>
      <c r="F454" s="87"/>
      <c r="H454" s="37" t="s">
        <v>818</v>
      </c>
    </row>
    <row r="455" spans="2:8" x14ac:dyDescent="0.3">
      <c r="B455" s="90" t="s">
        <v>871</v>
      </c>
      <c r="C455" s="91"/>
      <c r="D455" s="88">
        <f>VLOOKUP(D451, '3. 요건기술서 전체'!$B:$L, 9, 0)</f>
        <v>0</v>
      </c>
      <c r="E455" s="88"/>
      <c r="F455" s="89"/>
      <c r="H455" s="37">
        <v>0</v>
      </c>
    </row>
    <row r="456" spans="2:8" ht="15.75" thickBot="1" x14ac:dyDescent="0.35">
      <c r="B456" s="92" t="s">
        <v>47</v>
      </c>
      <c r="C456" s="93"/>
      <c r="D456" s="99">
        <f>VLOOKUP($D451,'3. 요건기술서 전체'!$B:$L,2,0)</f>
        <v>0</v>
      </c>
      <c r="E456" s="100"/>
      <c r="F456" s="101"/>
      <c r="H456" s="44">
        <v>0</v>
      </c>
    </row>
    <row r="457" spans="2:8" ht="15.75" thickBot="1" x14ac:dyDescent="0.35">
      <c r="H457" s="36"/>
    </row>
    <row r="458" spans="2:8" x14ac:dyDescent="0.3">
      <c r="B458" s="96" t="s">
        <v>41</v>
      </c>
      <c r="C458" s="97"/>
      <c r="D458" s="30" t="s">
        <v>53</v>
      </c>
      <c r="E458" s="31" t="s">
        <v>131</v>
      </c>
      <c r="F458" s="32" t="str">
        <f>VLOOKUP($D459,'3. 요건기술서 전체'!$B:$L,6,0)</f>
        <v>필수</v>
      </c>
      <c r="H458" s="36" t="s">
        <v>689</v>
      </c>
    </row>
    <row r="459" spans="2:8" x14ac:dyDescent="0.3">
      <c r="B459" s="94" t="s">
        <v>42</v>
      </c>
      <c r="C459" s="95"/>
      <c r="D459" s="33" t="str">
        <f>LEFT(D451,3)&amp;"-"&amp;TEXT(VALUE(RIGHT(D451,3))+1,"000")</f>
        <v>SFR-057</v>
      </c>
      <c r="E459" s="34" t="s">
        <v>85</v>
      </c>
      <c r="F459" s="35" t="str">
        <f>IFERROR(TRIM(IF(VLOOKUP($D459,'3. 요건기술서 전체'!$B:$L,10,0)&lt;&gt;"",IF(VLOOKUP($D459,'3. 요건기술서 전체'!$B:$L,10,0)="O", "한난O", IF(VLOOKUP($D459,'3. 요건기술서 전체'!$B:$L,10,0)="X", "한난X", "")),"") &amp; " " &amp;IF(VLOOKUP($D459,'3. 요건기술서 전체'!$B:$L,11,0)&lt;&gt;"",IF(VLOOKUP($D459,'3. 요건기술서 전체'!$B:$L,11,0)="O", "외부O", IF(VLOOKUP($D459,'3. 요건기술서 전체'!$B:$L,11,0)="X", "외부X", "")),"")),"")</f>
        <v/>
      </c>
      <c r="H459" s="37" t="s">
        <v>399</v>
      </c>
    </row>
    <row r="460" spans="2:8" x14ac:dyDescent="0.3">
      <c r="B460" s="94" t="s">
        <v>43</v>
      </c>
      <c r="C460" s="95"/>
      <c r="D460" s="85" t="str">
        <f>VLOOKUP($D459,'3. 요건기술서 전체'!$B:$L,5,0)</f>
        <v>협업 -업무지시전</v>
      </c>
      <c r="E460" s="86"/>
      <c r="F460" s="87"/>
      <c r="H460" s="37" t="s">
        <v>819</v>
      </c>
    </row>
    <row r="461" spans="2:8" x14ac:dyDescent="0.3">
      <c r="B461" s="98" t="s">
        <v>44</v>
      </c>
      <c r="C461" s="43" t="s">
        <v>45</v>
      </c>
      <c r="D461" s="85" t="str">
        <f>VLOOKUP($D459,'3. 요건기술서 전체'!$B:$L,7,0)</f>
        <v>설계사 또는 건설사에 업무지시를 위한 업무지시전 등록</v>
      </c>
      <c r="E461" s="86"/>
      <c r="F461" s="87"/>
      <c r="H461" s="37" t="s">
        <v>566</v>
      </c>
    </row>
    <row r="462" spans="2:8" ht="153" x14ac:dyDescent="0.3">
      <c r="B462" s="98"/>
      <c r="C462" s="43" t="s">
        <v>46</v>
      </c>
      <c r="D462" s="85" t="str">
        <f>VLOOKUP($D459,'3. 요건기술서 전체'!$B:$L,8,0)</f>
        <v>○ 업무지시전 작성(공사)
 - 주관부서별(기계, 전기, 제어, 토목, 건축 등) 프로젝트 담당자 등록 기능
 - 프로젝트 폴더에 있는 문서 및 개인 PC에 있는 문서 첨부 기능
 - 등록 시 분야별로 일련번호 자동 입력 기능
 - 임시저장 및 임시저장문서함에서 재작성 기능
○ 업무지시전 승인(공사)
 - 기안자 및 결재권자의 업무지시전을 승인, 워크플로우 이력조회, 반려처리 기능
 - 중간 및 최종 결재권자의 내용수정 및 파일추가 등록 기능
○ 업무지시전 접수(협력사 -건설사 또는 설계사)
 - 업무지시전의 승인, 워크플로우 이력조회, 반려처리 기능</v>
      </c>
      <c r="E462" s="86"/>
      <c r="F462" s="87"/>
      <c r="H462" s="37" t="s">
        <v>820</v>
      </c>
    </row>
    <row r="463" spans="2:8" x14ac:dyDescent="0.3">
      <c r="B463" s="90" t="s">
        <v>871</v>
      </c>
      <c r="C463" s="91"/>
      <c r="D463" s="88">
        <f>VLOOKUP(D459, '3. 요건기술서 전체'!$B:$L, 9, 0)</f>
        <v>0</v>
      </c>
      <c r="E463" s="88"/>
      <c r="F463" s="89"/>
      <c r="H463" s="44">
        <v>0</v>
      </c>
    </row>
    <row r="464" spans="2:8" ht="15.75" thickBot="1" x14ac:dyDescent="0.35">
      <c r="B464" s="92" t="s">
        <v>47</v>
      </c>
      <c r="C464" s="93"/>
      <c r="D464" s="99">
        <f>VLOOKUP($D459,'3. 요건기술서 전체'!$B:$L,2,0)</f>
        <v>0</v>
      </c>
      <c r="E464" s="100"/>
      <c r="F464" s="101"/>
      <c r="H464" s="36">
        <v>0</v>
      </c>
    </row>
    <row r="465" spans="2:8" ht="15.75" thickBot="1" x14ac:dyDescent="0.35">
      <c r="H465" s="36"/>
    </row>
    <row r="466" spans="2:8" x14ac:dyDescent="0.3">
      <c r="B466" s="96" t="s">
        <v>41</v>
      </c>
      <c r="C466" s="97"/>
      <c r="D466" s="30" t="s">
        <v>53</v>
      </c>
      <c r="E466" s="31" t="s">
        <v>131</v>
      </c>
      <c r="F466" s="32" t="str">
        <f>VLOOKUP($D467,'3. 요건기술서 전체'!$B:$L,6,0)</f>
        <v>필수</v>
      </c>
      <c r="H466" s="37" t="s">
        <v>689</v>
      </c>
    </row>
    <row r="467" spans="2:8" x14ac:dyDescent="0.3">
      <c r="B467" s="94" t="s">
        <v>42</v>
      </c>
      <c r="C467" s="95"/>
      <c r="D467" s="33" t="str">
        <f>LEFT(D459,3)&amp;"-"&amp;TEXT(VALUE(RIGHT(D459,3))+1,"000")</f>
        <v>SFR-058</v>
      </c>
      <c r="E467" s="34" t="s">
        <v>85</v>
      </c>
      <c r="F467" s="35" t="str">
        <f>IFERROR(TRIM(IF(VLOOKUP($D467,'3. 요건기술서 전체'!$B:$L,10,0)&lt;&gt;"",IF(VLOOKUP($D467,'3. 요건기술서 전체'!$B:$L,10,0)="O", "한난O", IF(VLOOKUP($D467,'3. 요건기술서 전체'!$B:$L,10,0)="X", "한난X", "")),"") &amp; " " &amp;IF(VLOOKUP($D467,'3. 요건기술서 전체'!$B:$L,11,0)&lt;&gt;"",IF(VLOOKUP($D467,'3. 요건기술서 전체'!$B:$L,11,0)="O", "외부O", IF(VLOOKUP($D467,'3. 요건기술서 전체'!$B:$L,11,0)="X", "외부X", "")),"")),"")</f>
        <v/>
      </c>
      <c r="H467" s="37" t="s">
        <v>400</v>
      </c>
    </row>
    <row r="468" spans="2:8" x14ac:dyDescent="0.3">
      <c r="B468" s="94" t="s">
        <v>43</v>
      </c>
      <c r="C468" s="95"/>
      <c r="D468" s="85" t="str">
        <f>VLOOKUP($D467,'3. 요건기술서 전체'!$B:$L,5,0)</f>
        <v>협업 -업무처리전</v>
      </c>
      <c r="E468" s="86"/>
      <c r="F468" s="87"/>
      <c r="H468" s="37" t="s">
        <v>822</v>
      </c>
    </row>
    <row r="469" spans="2:8" x14ac:dyDescent="0.3">
      <c r="B469" s="98" t="s">
        <v>44</v>
      </c>
      <c r="C469" s="43" t="s">
        <v>45</v>
      </c>
      <c r="D469" s="85" t="str">
        <f>VLOOKUP($D467,'3. 요건기술서 전체'!$B:$L,7,0)</f>
        <v>처리결과에 대한 업무처리전 등록</v>
      </c>
      <c r="E469" s="86"/>
      <c r="F469" s="87"/>
      <c r="H469" s="37" t="s">
        <v>567</v>
      </c>
    </row>
    <row r="470" spans="2:8" ht="318.75" x14ac:dyDescent="0.3">
      <c r="B470" s="98"/>
      <c r="C470" s="43" t="s">
        <v>46</v>
      </c>
      <c r="D470" s="85" t="str">
        <f>VLOOKUP($D467,'3. 요건기술서 전체'!$B:$L,8,0)</f>
        <v>○ 업무처리전 작성(협력사 -건설사 또는 설계사)
 - 업무처리전은 주관부서별(기계, 전기, 제어, 토목, 건축 등) 프로젝트 폴더에 선택하여 등록
 - 업무처리전 등록 시 일련번호 입력 기능
 - 주관 프로젝트 폴더 선택 입력 기능
 - 발신처, 수신처, 참조, 등록일자, 내용 입력 기능
 - 업무처리전 등록 시 DCL이 다른 문서에서 진행중인 경우 해당 정보 제공 기능
 - 업무처리전에 DCL 추가 및 동시 선택 기능
 - 업무처리전에 저장되고, DCL 승인 주관 프로젝트 폴더로 전송 기능
 - 반려, 수정 요청된 업무처리전은 수정 후 재전송 기능
 - 임시저장 및 임시저장 문서함에서 재작성 기능
 - PC에 있는 문서 첨부 기능
 - 업무처리전 등록 시 문서번호 중복체크 기능
○ 업무처리전 접수(공사)
 - 접수 승인 시 검토자에 PM이 자동 입력되고, 변경지정 기능
 - 설정된 배포처가 자동 선택되고 필요시 추가/제거 기능
 - 협력사(건설사 또는 설계사)에게 배포가 필요한 경우 배포 기능
 - 승인처리, 이력조회, 반려 기능
 - 반려 시 작성자에게 반려 처리 기능
○ 업무처리전 승인(공사)
 - 접수 승인 시 검토자에 PM이 자동 입력 및 변경지정 기능
 - 설정된 배포처가 자동 선택되고 필요시 추가/제거 기능
 - 승인처리, 이력조회, 반려 기능
 - 반려 시 작성자에게 반려 처리 기능</v>
      </c>
      <c r="E470" s="86"/>
      <c r="F470" s="87"/>
      <c r="H470" s="44" t="s">
        <v>823</v>
      </c>
    </row>
    <row r="471" spans="2:8" x14ac:dyDescent="0.3">
      <c r="B471" s="90" t="s">
        <v>871</v>
      </c>
      <c r="C471" s="91"/>
      <c r="D471" s="88">
        <f>VLOOKUP(D467, '3. 요건기술서 전체'!$B:$L, 9, 0)</f>
        <v>0</v>
      </c>
      <c r="E471" s="88"/>
      <c r="F471" s="89"/>
      <c r="H471" s="36">
        <v>0</v>
      </c>
    </row>
    <row r="472" spans="2:8" ht="15.75" thickBot="1" x14ac:dyDescent="0.35">
      <c r="B472" s="92" t="s">
        <v>47</v>
      </c>
      <c r="C472" s="93"/>
      <c r="D472" s="99">
        <f>VLOOKUP($D467,'3. 요건기술서 전체'!$B:$L,2,0)</f>
        <v>0</v>
      </c>
      <c r="E472" s="100"/>
      <c r="F472" s="101"/>
      <c r="H472" s="36">
        <v>0</v>
      </c>
    </row>
    <row r="473" spans="2:8" ht="15.75" thickBot="1" x14ac:dyDescent="0.35">
      <c r="H473" s="37"/>
    </row>
    <row r="474" spans="2:8" x14ac:dyDescent="0.3">
      <c r="B474" s="96" t="s">
        <v>41</v>
      </c>
      <c r="C474" s="97"/>
      <c r="D474" s="30" t="s">
        <v>53</v>
      </c>
      <c r="E474" s="31" t="s">
        <v>131</v>
      </c>
      <c r="F474" s="32" t="str">
        <f>VLOOKUP($D475,'3. 요건기술서 전체'!$B:$L,6,0)</f>
        <v>필수</v>
      </c>
      <c r="H474" s="37" t="s">
        <v>689</v>
      </c>
    </row>
    <row r="475" spans="2:8" x14ac:dyDescent="0.3">
      <c r="B475" s="94" t="s">
        <v>42</v>
      </c>
      <c r="C475" s="95"/>
      <c r="D475" s="33" t="str">
        <f>LEFT(D467,3)&amp;"-"&amp;TEXT(VALUE(RIGHT(D467,3))+1,"000")</f>
        <v>SFR-059</v>
      </c>
      <c r="E475" s="34" t="s">
        <v>85</v>
      </c>
      <c r="F475" s="35" t="str">
        <f>IFERROR(TRIM(IF(VLOOKUP($D475,'3. 요건기술서 전체'!$B:$L,10,0)&lt;&gt;"",IF(VLOOKUP($D475,'3. 요건기술서 전체'!$B:$L,10,0)="O", "한난O", IF(VLOOKUP($D475,'3. 요건기술서 전체'!$B:$L,10,0)="X", "한난X", "")),"") &amp; " " &amp;IF(VLOOKUP($D475,'3. 요건기술서 전체'!$B:$L,11,0)&lt;&gt;"",IF(VLOOKUP($D475,'3. 요건기술서 전체'!$B:$L,11,0)="O", "외부O", IF(VLOOKUP($D475,'3. 요건기술서 전체'!$B:$L,11,0)="X", "외부X", "")),"")),"")</f>
        <v/>
      </c>
      <c r="H475" s="37" t="s">
        <v>401</v>
      </c>
    </row>
    <row r="476" spans="2:8" x14ac:dyDescent="0.3">
      <c r="B476" s="94" t="s">
        <v>43</v>
      </c>
      <c r="C476" s="95"/>
      <c r="D476" s="85" t="str">
        <f>VLOOKUP($D475,'3. 요건기술서 전체'!$B:$L,5,0)</f>
        <v>협업 -현황</v>
      </c>
      <c r="E476" s="86"/>
      <c r="F476" s="87"/>
      <c r="H476" s="37" t="s">
        <v>824</v>
      </c>
    </row>
    <row r="477" spans="2:8" x14ac:dyDescent="0.3">
      <c r="B477" s="98" t="s">
        <v>44</v>
      </c>
      <c r="C477" s="43" t="s">
        <v>45</v>
      </c>
      <c r="D477" s="85" t="str">
        <f>VLOOKUP($D475,'3. 요건기술서 전체'!$B:$L,7,0)</f>
        <v>수발신문서의 현황 조회</v>
      </c>
      <c r="E477" s="86"/>
      <c r="F477" s="87"/>
      <c r="H477" s="44" t="s">
        <v>568</v>
      </c>
    </row>
    <row r="478" spans="2:8" ht="51" x14ac:dyDescent="0.3">
      <c r="B478" s="98"/>
      <c r="C478" s="43" t="s">
        <v>46</v>
      </c>
      <c r="D478" s="85" t="str">
        <f>VLOOKUP($D475,'3. 요건기술서 전체'!$B:$L,8,0)</f>
        <v>○ 문서 등록/지연/처리기한 현황 조회 기능
○ 페이지 당 항목수 변경 기능
○ 수발신문서 속성 지정 및 Export 기능
○ 수발신문서 조건검색 기능</v>
      </c>
      <c r="E478" s="86"/>
      <c r="F478" s="87"/>
      <c r="H478" s="36" t="s">
        <v>1072</v>
      </c>
    </row>
    <row r="479" spans="2:8" x14ac:dyDescent="0.3">
      <c r="B479" s="90" t="s">
        <v>871</v>
      </c>
      <c r="C479" s="91"/>
      <c r="D479" s="88">
        <f>VLOOKUP(D475, '3. 요건기술서 전체'!$B:$L, 9, 0)</f>
        <v>0</v>
      </c>
      <c r="E479" s="88"/>
      <c r="F479" s="89"/>
      <c r="H479" s="36">
        <v>0</v>
      </c>
    </row>
    <row r="480" spans="2:8" ht="15.75" thickBot="1" x14ac:dyDescent="0.35">
      <c r="B480" s="92" t="s">
        <v>47</v>
      </c>
      <c r="C480" s="93"/>
      <c r="D480" s="99">
        <f>VLOOKUP($D475,'3. 요건기술서 전체'!$B:$L,2,0)</f>
        <v>0</v>
      </c>
      <c r="E480" s="100"/>
      <c r="F480" s="101"/>
      <c r="H480" s="37">
        <v>0</v>
      </c>
    </row>
    <row r="481" spans="2:8" ht="15.75" thickBot="1" x14ac:dyDescent="0.35">
      <c r="H481" s="37"/>
    </row>
    <row r="482" spans="2:8" x14ac:dyDescent="0.3">
      <c r="B482" s="96" t="s">
        <v>41</v>
      </c>
      <c r="C482" s="97"/>
      <c r="D482" s="30" t="s">
        <v>53</v>
      </c>
      <c r="E482" s="31" t="s">
        <v>131</v>
      </c>
      <c r="F482" s="32" t="str">
        <f>VLOOKUP($D483,'3. 요건기술서 전체'!$B:$L,6,0)</f>
        <v>필수</v>
      </c>
      <c r="H482" s="37" t="s">
        <v>689</v>
      </c>
    </row>
    <row r="483" spans="2:8" x14ac:dyDescent="0.3">
      <c r="B483" s="94" t="s">
        <v>42</v>
      </c>
      <c r="C483" s="95"/>
      <c r="D483" s="33" t="str">
        <f>LEFT(D475,3)&amp;"-"&amp;TEXT(VALUE(RIGHT(D475,3))+1,"000")</f>
        <v>SFR-060</v>
      </c>
      <c r="E483" s="34" t="s">
        <v>85</v>
      </c>
      <c r="F483" s="35" t="str">
        <f>IFERROR(TRIM(IF(VLOOKUP($D483,'3. 요건기술서 전체'!$B:$L,10,0)&lt;&gt;"",IF(VLOOKUP($D483,'3. 요건기술서 전체'!$B:$L,10,0)="O", "한난O", IF(VLOOKUP($D483,'3. 요건기술서 전체'!$B:$L,10,0)="X", "한난X", "")),"") &amp; " " &amp;IF(VLOOKUP($D483,'3. 요건기술서 전체'!$B:$L,11,0)&lt;&gt;"",IF(VLOOKUP($D483,'3. 요건기술서 전체'!$B:$L,11,0)="O", "외부O", IF(VLOOKUP($D483,'3. 요건기술서 전체'!$B:$L,11,0)="X", "외부X", "")),"")),"")</f>
        <v/>
      </c>
      <c r="H483" s="37" t="s">
        <v>402</v>
      </c>
    </row>
    <row r="484" spans="2:8" x14ac:dyDescent="0.3">
      <c r="B484" s="94" t="s">
        <v>43</v>
      </c>
      <c r="C484" s="95"/>
      <c r="D484" s="85" t="str">
        <f>VLOOKUP($D483,'3. 요건기술서 전체'!$B:$L,5,0)</f>
        <v>사업관리 -DCL Setup</v>
      </c>
      <c r="E484" s="86"/>
      <c r="F484" s="87"/>
      <c r="H484" s="44" t="s">
        <v>826</v>
      </c>
    </row>
    <row r="485" spans="2:8" x14ac:dyDescent="0.3">
      <c r="B485" s="98" t="s">
        <v>44</v>
      </c>
      <c r="C485" s="43" t="s">
        <v>45</v>
      </c>
      <c r="D485" s="85" t="str">
        <f>VLOOKUP($D483,'3. 요건기술서 전체'!$B:$L,7,0)</f>
        <v>Detail Setup, Revision, Stage, Class, Process Code 등 DCL 관리</v>
      </c>
      <c r="E485" s="86"/>
      <c r="F485" s="87"/>
      <c r="H485" s="36" t="s">
        <v>569</v>
      </c>
    </row>
    <row r="486" spans="2:8" ht="255" x14ac:dyDescent="0.3">
      <c r="B486" s="98"/>
      <c r="C486" s="43" t="s">
        <v>46</v>
      </c>
      <c r="D486" s="85" t="str">
        <f>VLOOKUP($D483,'3. 요건기술서 전체'!$B:$L,8,0)</f>
        <v>○ EDCL, VDCL Detail Setup
 - 설계분야 및 Vender Print 성과품별 Document No., Name, Plan 설정하여 DCL 정의
 - 문서분류코드, 분야명, 문서번호, 문서제목, 문서크기, 업체명, Class, 제출계획일 등 입력 기능
 - 템플릿 Export/Import를 통한 입력 기능
 - 시스템에서 수정한 DCL을 Export/Import를 통한 입력 기능
 - DCL 조회/추가/수정/삭제/다중선택 등의 기능
 - DCL 삭제 시 결재 진행 중인 문서가 있는 경우 해당 문서의 정보 조회 기능
○ Revision
 - Revision Set(Revision No. Rule)을 추가/수정/삭제 기능
 - Revision Set에 Revision을 추가할 경우, Revision Set 지정 및 Revision No. 추가 기능
○ Stage
 - 성과품 제출 Stage를 정의하고, Stage별 Revision Set을 정의 기능
 - Revision Set에 Revision을 추가할 경우, Revision Set 지정 및 Revision No. 추가 기능
○ Class
 - Class를 추가/수정/삭제 기능
 - Class 추가 시 Type, 각 Stage의 지정 기능
○ Process Code
 - Process Code를 추가/수정/삭제기능
 - Process Code 추가 시 Code, Code Name, Weight의 지정 기능
(CNR-002) - 건설업무지침서에 맞게 DCL 표준화</v>
      </c>
      <c r="E486" s="86"/>
      <c r="F486" s="87"/>
      <c r="H486" s="36" t="s">
        <v>1073</v>
      </c>
    </row>
    <row r="487" spans="2:8" x14ac:dyDescent="0.3">
      <c r="B487" s="90" t="s">
        <v>871</v>
      </c>
      <c r="C487" s="91"/>
      <c r="D487" s="88">
        <f>VLOOKUP(D483, '3. 요건기술서 전체'!$B:$L, 9, 0)</f>
        <v>0</v>
      </c>
      <c r="E487" s="88"/>
      <c r="F487" s="89"/>
      <c r="H487" s="37">
        <v>0</v>
      </c>
    </row>
    <row r="488" spans="2:8" ht="15.75" thickBot="1" x14ac:dyDescent="0.35">
      <c r="B488" s="92" t="s">
        <v>47</v>
      </c>
      <c r="C488" s="93"/>
      <c r="D488" s="99">
        <f>VLOOKUP($D483,'3. 요건기술서 전체'!$B:$L,2,0)</f>
        <v>0</v>
      </c>
      <c r="E488" s="100"/>
      <c r="F488" s="101"/>
      <c r="H488" s="37">
        <v>0</v>
      </c>
    </row>
    <row r="489" spans="2:8" ht="15.75" thickBot="1" x14ac:dyDescent="0.35">
      <c r="H489" s="37"/>
    </row>
    <row r="490" spans="2:8" x14ac:dyDescent="0.3">
      <c r="B490" s="96" t="s">
        <v>41</v>
      </c>
      <c r="C490" s="97"/>
      <c r="D490" s="30" t="s">
        <v>53</v>
      </c>
      <c r="E490" s="31" t="s">
        <v>131</v>
      </c>
      <c r="F490" s="32" t="str">
        <f>VLOOKUP($D491,'3. 요건기술서 전체'!$B:$L,6,0)</f>
        <v>필수</v>
      </c>
      <c r="H490" s="37" t="s">
        <v>689</v>
      </c>
    </row>
    <row r="491" spans="2:8" x14ac:dyDescent="0.3">
      <c r="B491" s="94" t="s">
        <v>42</v>
      </c>
      <c r="C491" s="95"/>
      <c r="D491" s="33" t="str">
        <f>LEFT(D483,3)&amp;"-"&amp;TEXT(VALUE(RIGHT(D483,3))+1,"000")</f>
        <v>SFR-061</v>
      </c>
      <c r="E491" s="34" t="s">
        <v>85</v>
      </c>
      <c r="F491" s="35" t="str">
        <f>IFERROR(TRIM(IF(VLOOKUP($D491,'3. 요건기술서 전체'!$B:$L,10,0)&lt;&gt;"",IF(VLOOKUP($D491,'3. 요건기술서 전체'!$B:$L,10,0)="O", "한난O", IF(VLOOKUP($D491,'3. 요건기술서 전체'!$B:$L,10,0)="X", "한난X", "")),"") &amp; " " &amp;IF(VLOOKUP($D491,'3. 요건기술서 전체'!$B:$L,11,0)&lt;&gt;"",IF(VLOOKUP($D491,'3. 요건기술서 전체'!$B:$L,11,0)="O", "외부O", IF(VLOOKUP($D491,'3. 요건기술서 전체'!$B:$L,11,0)="X", "외부X", "")),"")),"")</f>
        <v/>
      </c>
      <c r="H491" s="44" t="s">
        <v>403</v>
      </c>
    </row>
    <row r="492" spans="2:8" x14ac:dyDescent="0.3">
      <c r="B492" s="94" t="s">
        <v>43</v>
      </c>
      <c r="C492" s="95"/>
      <c r="D492" s="85" t="str">
        <f>VLOOKUP($D491,'3. 요건기술서 전체'!$B:$L,5,0)</f>
        <v>사업관리 -DCL</v>
      </c>
      <c r="E492" s="86"/>
      <c r="F492" s="87"/>
      <c r="H492" s="36" t="s">
        <v>828</v>
      </c>
    </row>
    <row r="493" spans="2:8" x14ac:dyDescent="0.3">
      <c r="B493" s="98" t="s">
        <v>44</v>
      </c>
      <c r="C493" s="43" t="s">
        <v>45</v>
      </c>
      <c r="D493" s="85" t="str">
        <f>VLOOKUP($D491,'3. 요건기술서 전체'!$B:$L,7,0)</f>
        <v>DCL 조건검색 및 현황 관리</v>
      </c>
      <c r="E493" s="86"/>
      <c r="F493" s="87"/>
      <c r="H493" s="36" t="s">
        <v>570</v>
      </c>
    </row>
    <row r="494" spans="2:8" ht="140.25" x14ac:dyDescent="0.3">
      <c r="B494" s="98"/>
      <c r="C494" s="43" t="s">
        <v>46</v>
      </c>
      <c r="D494" s="85" t="str">
        <f>VLOOKUP($D491,'3. 요건기술서 전체'!$B:$L,8,0)</f>
        <v>○ DCL(EDCL, VDCL) 조건검색 및 현황 관리
 - 지연 및 지연 임박 DCL은 다른색으로 표시 기능
 - DCL 성과물 파일을 개별첨부/일괄첨부 기능
○ 선택한 DCL 업무
 - Revision별 이력조회
 - Revision별 성과물 파일 목록 조회
 - Revision별 검토 이력 조회
 - Revision별 검토 의견 상세 조회
 - DCL Revision 생성
 - DCL 제출일, 수발신 문서번호 입력
 - DCL 회신결과 입력</v>
      </c>
      <c r="E494" s="86"/>
      <c r="F494" s="87"/>
      <c r="H494" s="37" t="s">
        <v>829</v>
      </c>
    </row>
    <row r="495" spans="2:8" x14ac:dyDescent="0.3">
      <c r="B495" s="90" t="s">
        <v>871</v>
      </c>
      <c r="C495" s="91"/>
      <c r="D495" s="88">
        <f>VLOOKUP(D491, '3. 요건기술서 전체'!$B:$L, 9, 0)</f>
        <v>0</v>
      </c>
      <c r="E495" s="88"/>
      <c r="F495" s="89"/>
      <c r="H495" s="37">
        <v>0</v>
      </c>
    </row>
    <row r="496" spans="2:8" ht="15.75" thickBot="1" x14ac:dyDescent="0.35">
      <c r="B496" s="92" t="s">
        <v>47</v>
      </c>
      <c r="C496" s="93"/>
      <c r="D496" s="99">
        <f>VLOOKUP($D491,'3. 요건기술서 전체'!$B:$L,2,0)</f>
        <v>0</v>
      </c>
      <c r="E496" s="100"/>
      <c r="F496" s="101"/>
      <c r="H496" s="37">
        <v>0</v>
      </c>
    </row>
    <row r="497" spans="2:8" ht="15.75" thickBot="1" x14ac:dyDescent="0.35">
      <c r="H497" s="37"/>
    </row>
    <row r="498" spans="2:8" x14ac:dyDescent="0.3">
      <c r="B498" s="96" t="s">
        <v>41</v>
      </c>
      <c r="C498" s="97"/>
      <c r="D498" s="30" t="s">
        <v>53</v>
      </c>
      <c r="E498" s="31" t="s">
        <v>131</v>
      </c>
      <c r="F498" s="32" t="str">
        <f>VLOOKUP($D499,'3. 요건기술서 전체'!$B:$L,6,0)</f>
        <v>필수</v>
      </c>
      <c r="H498" s="44" t="s">
        <v>689</v>
      </c>
    </row>
    <row r="499" spans="2:8" x14ac:dyDescent="0.3">
      <c r="B499" s="94" t="s">
        <v>42</v>
      </c>
      <c r="C499" s="95"/>
      <c r="D499" s="33" t="str">
        <f>LEFT(D491,3)&amp;"-"&amp;TEXT(VALUE(RIGHT(D491,3))+1,"000")</f>
        <v>SFR-062</v>
      </c>
      <c r="E499" s="34" t="s">
        <v>85</v>
      </c>
      <c r="F499" s="35" t="str">
        <f>IFERROR(TRIM(IF(VLOOKUP($D499,'3. 요건기술서 전체'!$B:$L,10,0)&lt;&gt;"",IF(VLOOKUP($D499,'3. 요건기술서 전체'!$B:$L,10,0)="O", "한난O", IF(VLOOKUP($D499,'3. 요건기술서 전체'!$B:$L,10,0)="X", "한난X", "")),"") &amp; " " &amp;IF(VLOOKUP($D499,'3. 요건기술서 전체'!$B:$L,11,0)&lt;&gt;"",IF(VLOOKUP($D499,'3. 요건기술서 전체'!$B:$L,11,0)="O", "외부O", IF(VLOOKUP($D499,'3. 요건기술서 전체'!$B:$L,11,0)="X", "외부X", "")),"")),"")</f>
        <v/>
      </c>
      <c r="H499" s="36" t="s">
        <v>404</v>
      </c>
    </row>
    <row r="500" spans="2:8" x14ac:dyDescent="0.3">
      <c r="B500" s="94" t="s">
        <v>43</v>
      </c>
      <c r="C500" s="95"/>
      <c r="D500" s="85" t="str">
        <f>VLOOKUP($D499,'3. 요건기술서 전체'!$B:$L,5,0)</f>
        <v>사업관리 -DCL Delay List</v>
      </c>
      <c r="E500" s="86"/>
      <c r="F500" s="87"/>
      <c r="H500" s="36" t="s">
        <v>831</v>
      </c>
    </row>
    <row r="501" spans="2:8" x14ac:dyDescent="0.3">
      <c r="B501" s="98" t="s">
        <v>44</v>
      </c>
      <c r="C501" s="43" t="s">
        <v>45</v>
      </c>
      <c r="D501" s="85" t="str">
        <f>VLOOKUP($D499,'3. 요건기술서 전체'!$B:$L,7,0)</f>
        <v>DCL 지연 리스트 조회</v>
      </c>
      <c r="E501" s="86"/>
      <c r="F501" s="87"/>
      <c r="H501" s="37" t="s">
        <v>571</v>
      </c>
    </row>
    <row r="502" spans="2:8" ht="25.5" x14ac:dyDescent="0.3">
      <c r="B502" s="98"/>
      <c r="C502" s="43" t="s">
        <v>46</v>
      </c>
      <c r="D502" s="85" t="str">
        <f>VLOOKUP($D499,'3. 요건기술서 전체'!$B:$L,8,0)</f>
        <v>○ DCL(EDCL, VDCL) 지연 리스트 조회 기능
○ 지연 리스트의 Export 기능</v>
      </c>
      <c r="E502" s="86"/>
      <c r="F502" s="87"/>
      <c r="H502" s="37" t="s">
        <v>1074</v>
      </c>
    </row>
    <row r="503" spans="2:8" x14ac:dyDescent="0.3">
      <c r="B503" s="90" t="s">
        <v>871</v>
      </c>
      <c r="C503" s="91"/>
      <c r="D503" s="88">
        <f>VLOOKUP(D499, '3. 요건기술서 전체'!$B:$L, 9, 0)</f>
        <v>0</v>
      </c>
      <c r="E503" s="88"/>
      <c r="F503" s="89"/>
      <c r="H503" s="37">
        <v>0</v>
      </c>
    </row>
    <row r="504" spans="2:8" ht="15.75" thickBot="1" x14ac:dyDescent="0.35">
      <c r="B504" s="92" t="s">
        <v>47</v>
      </c>
      <c r="C504" s="93"/>
      <c r="D504" s="99">
        <f>VLOOKUP($D499,'3. 요건기술서 전체'!$B:$L,2,0)</f>
        <v>0</v>
      </c>
      <c r="E504" s="100"/>
      <c r="F504" s="101"/>
      <c r="H504" s="37">
        <v>0</v>
      </c>
    </row>
    <row r="505" spans="2:8" ht="15.75" thickBot="1" x14ac:dyDescent="0.35"/>
    <row r="506" spans="2:8" x14ac:dyDescent="0.3">
      <c r="B506" s="96" t="s">
        <v>41</v>
      </c>
      <c r="C506" s="97"/>
      <c r="D506" s="30" t="s">
        <v>53</v>
      </c>
      <c r="E506" s="31" t="s">
        <v>131</v>
      </c>
      <c r="F506" s="32" t="str">
        <f>VLOOKUP($D507,'3. 요건기술서 전체'!$B:$L,6,0)</f>
        <v>필수</v>
      </c>
      <c r="H506" s="36" t="s">
        <v>689</v>
      </c>
    </row>
    <row r="507" spans="2:8" x14ac:dyDescent="0.3">
      <c r="B507" s="94" t="s">
        <v>42</v>
      </c>
      <c r="C507" s="95"/>
      <c r="D507" s="33" t="str">
        <f>LEFT(D499,3)&amp;"-"&amp;TEXT(VALUE(RIGHT(D499,3))+1,"000")</f>
        <v>SFR-063</v>
      </c>
      <c r="E507" s="34" t="s">
        <v>85</v>
      </c>
      <c r="F507" s="35" t="str">
        <f>IFERROR(TRIM(IF(VLOOKUP($D507,'3. 요건기술서 전체'!$B:$L,10,0)&lt;&gt;"",IF(VLOOKUP($D507,'3. 요건기술서 전체'!$B:$L,10,0)="O", "한난O", IF(VLOOKUP($D507,'3. 요건기술서 전체'!$B:$L,10,0)="X", "한난X", "")),"") &amp; " " &amp;IF(VLOOKUP($D507,'3. 요건기술서 전체'!$B:$L,11,0)&lt;&gt;"",IF(VLOOKUP($D507,'3. 요건기술서 전체'!$B:$L,11,0)="O", "외부O", IF(VLOOKUP($D507,'3. 요건기술서 전체'!$B:$L,11,0)="X", "외부X", "")),"")),"")</f>
        <v/>
      </c>
      <c r="H507" s="36" t="s">
        <v>405</v>
      </c>
    </row>
    <row r="508" spans="2:8" x14ac:dyDescent="0.3">
      <c r="B508" s="94" t="s">
        <v>43</v>
      </c>
      <c r="C508" s="95"/>
      <c r="D508" s="85" t="str">
        <f>VLOOKUP($D507,'3. 요건기술서 전체'!$B:$L,5,0)</f>
        <v>사업관리 -현황</v>
      </c>
      <c r="E508" s="86"/>
      <c r="F508" s="87"/>
      <c r="H508" s="37" t="s">
        <v>833</v>
      </c>
    </row>
    <row r="509" spans="2:8" x14ac:dyDescent="0.3">
      <c r="B509" s="98" t="s">
        <v>44</v>
      </c>
      <c r="C509" s="43" t="s">
        <v>45</v>
      </c>
      <c r="D509" s="85" t="str">
        <f>VLOOKUP($D507,'3. 요건기술서 전체'!$B:$L,7,0)</f>
        <v>DCL 관련 레포트 검토</v>
      </c>
      <c r="E509" s="86"/>
      <c r="F509" s="87"/>
      <c r="H509" s="37" t="s">
        <v>572</v>
      </c>
    </row>
    <row r="510" spans="2:8" ht="140.25" x14ac:dyDescent="0.3">
      <c r="B510" s="98"/>
      <c r="C510" s="43" t="s">
        <v>46</v>
      </c>
      <c r="D510" s="85" t="str">
        <f>VLOOKUP($D507,'3. 요건기술서 전체'!$B:$L,8,0)</f>
        <v>○ 현황
 - 도면 지연 리스트 조회 기능
 - 알람 기능 추가 - 자료 검토(14일, 토,일, 공휴일 산입하지 않고) 15일째부터 알람 ON
 - 지연 리스트의 Export 기능
○ 검토
 - PDF, Excel, Word, 한글 등으로 저장 기능
 - 페이지 이동, 확대, 텍스트 검색 기능
 - Real Time Annotate Collaboration 기능 추가
  · 단일 파일(성과물/VP) 동시에 검토의견 입력
  · 공통의견 한번 입력으로 전체파일에 반영, PDF로 출력
  · 검토의견을 TEXT 형태로 입력 / 실시간으로 입력창 생성</v>
      </c>
      <c r="E510" s="86"/>
      <c r="F510" s="87"/>
      <c r="H510" s="37" t="s">
        <v>1075</v>
      </c>
    </row>
    <row r="511" spans="2:8" x14ac:dyDescent="0.3">
      <c r="B511" s="90" t="s">
        <v>871</v>
      </c>
      <c r="C511" s="91"/>
      <c r="D511" s="88">
        <f>VLOOKUP(D507, '3. 요건기술서 전체'!$B:$L, 9, 0)</f>
        <v>0</v>
      </c>
      <c r="E511" s="88"/>
      <c r="F511" s="89"/>
      <c r="H511" s="37">
        <v>0</v>
      </c>
    </row>
    <row r="512" spans="2:8" ht="15.75" thickBot="1" x14ac:dyDescent="0.35">
      <c r="B512" s="92" t="s">
        <v>47</v>
      </c>
      <c r="C512" s="93"/>
      <c r="D512" s="99">
        <f>VLOOKUP($D507,'3. 요건기술서 전체'!$B:$L,2,0)</f>
        <v>0</v>
      </c>
      <c r="E512" s="100"/>
      <c r="F512" s="101"/>
      <c r="H512" s="44">
        <v>0</v>
      </c>
    </row>
    <row r="513" spans="2:8" ht="15.75" thickBot="1" x14ac:dyDescent="0.35">
      <c r="H513" s="41"/>
    </row>
    <row r="514" spans="2:8" x14ac:dyDescent="0.3">
      <c r="B514" s="96" t="s">
        <v>41</v>
      </c>
      <c r="C514" s="97"/>
      <c r="D514" s="30" t="s">
        <v>53</v>
      </c>
      <c r="E514" s="31" t="s">
        <v>131</v>
      </c>
      <c r="F514" s="32" t="str">
        <f>VLOOKUP($D515,'3. 요건기술서 전체'!$B:$L,6,0)</f>
        <v>필수</v>
      </c>
      <c r="H514" s="36" t="s">
        <v>689</v>
      </c>
    </row>
    <row r="515" spans="2:8" x14ac:dyDescent="0.3">
      <c r="B515" s="94" t="s">
        <v>42</v>
      </c>
      <c r="C515" s="95"/>
      <c r="D515" s="33" t="str">
        <f>LEFT(D507,3)&amp;"-"&amp;TEXT(VALUE(RIGHT(D507,3))+1,"000")</f>
        <v>SFR-064</v>
      </c>
      <c r="E515" s="34" t="s">
        <v>85</v>
      </c>
      <c r="F515" s="35" t="str">
        <f>IFERROR(TRIM(IF(VLOOKUP($D515,'3. 요건기술서 전체'!$B:$L,10,0)&lt;&gt;"",IF(VLOOKUP($D515,'3. 요건기술서 전체'!$B:$L,10,0)="O", "한난O", IF(VLOOKUP($D515,'3. 요건기술서 전체'!$B:$L,10,0)="X", "한난X", "")),"") &amp; " " &amp;IF(VLOOKUP($D515,'3. 요건기술서 전체'!$B:$L,11,0)&lt;&gt;"",IF(VLOOKUP($D515,'3. 요건기술서 전체'!$B:$L,11,0)="O", "외부O", IF(VLOOKUP($D515,'3. 요건기술서 전체'!$B:$L,11,0)="X", "외부X", "")),"")),"")</f>
        <v/>
      </c>
      <c r="H515" s="37" t="s">
        <v>406</v>
      </c>
    </row>
    <row r="516" spans="2:8" x14ac:dyDescent="0.3">
      <c r="B516" s="94" t="s">
        <v>43</v>
      </c>
      <c r="C516" s="95"/>
      <c r="D516" s="85" t="str">
        <f>VLOOKUP($D515,'3. 요건기술서 전체'!$B:$L,5,0)</f>
        <v>품질실적관리</v>
      </c>
      <c r="E516" s="86"/>
      <c r="F516" s="87"/>
      <c r="H516" s="37" t="s">
        <v>407</v>
      </c>
    </row>
    <row r="517" spans="2:8" ht="25.5" x14ac:dyDescent="0.3">
      <c r="B517" s="98" t="s">
        <v>44</v>
      </c>
      <c r="C517" s="43" t="s">
        <v>45</v>
      </c>
      <c r="D517" s="85" t="str">
        <f>VLOOKUP($D515,'3. 요건기술서 전체'!$B:$L,7,0)</f>
        <v>기자재 입회신청서 목록 조회/등록/승인
(품질관리 -건설용)</v>
      </c>
      <c r="E517" s="86"/>
      <c r="F517" s="87"/>
      <c r="H517" s="37" t="s">
        <v>835</v>
      </c>
    </row>
    <row r="518" spans="2:8" ht="280.5" x14ac:dyDescent="0.3">
      <c r="B518" s="98"/>
      <c r="C518" s="43" t="s">
        <v>46</v>
      </c>
      <c r="D518" s="85" t="str">
        <f>VLOOKUP($D515,'3. 요건기술서 전체'!$B:$L,8,0)</f>
        <v>○ 입회신청서 조회
 - 계약명, 계약상대자, 제작자, 검사품목, 품질관리책임자 등의 조건으로 조회
○ 입회신청서 등록
 - 기자재 입회신청서 조회/작성 기능
 - 입회신청서 작성 시 계약상대자, 계약명, 제작자, 검사품목, 품질관리책임자 입력 기능
 - 임시저장 및 임시저장문서함에서 재작성 기능
 - 결재 시 등록되며 품질담당에게 결재요청 기능
○ 입회신청서 승인
 - 등록된 입회신청서를 조회/출력 기능
 - 입회신청서 진행 이력 확인 기능
 - 검사구분을 선택 기능 (자체/용역, 동영상/실시간원격검사/관계없음)
 - 품질담당은 요청받은 입회신청서의 조회/승인/반려 기능
○ 자체/용역/실시간원격 검사(적합)
 - 품질담당이 수행한 검사 결과를 입회신청서에 작성 기능
 - 입회결과서 등록 시 파일 첨부 기능
 - 결재 요청 시 품질팀장에게 결재요청 기능
○ 자체/용역/실시간원격 검사(부적합)
 - 부적합 결과보고서를 입회신청서에 작성 기능
 - 재검사 입회신청서 등록 시 부적합 결과보고서가 연동되어 검사자 확인 기능
 - 부적합 지적사항의 조치 여부를 확인 할 수 있게 최종검사보고서 상단에 "부적합 발생" 件 표시 필요 → 부적합 보고서와 최종보고서 연동
○ 입회결과 승인
 - 접수된 입회신청서를 조회하여 결과의 검토 및 승인 기능</v>
      </c>
      <c r="E518" s="86"/>
      <c r="F518" s="87"/>
      <c r="H518" s="37" t="s">
        <v>836</v>
      </c>
    </row>
    <row r="519" spans="2:8" x14ac:dyDescent="0.3">
      <c r="B519" s="90" t="s">
        <v>871</v>
      </c>
      <c r="C519" s="91"/>
      <c r="D519" s="88">
        <f>VLOOKUP(D515, '3. 요건기술서 전체'!$B:$L, 9, 0)</f>
        <v>0</v>
      </c>
      <c r="E519" s="88"/>
      <c r="F519" s="89"/>
      <c r="H519" s="44">
        <v>0</v>
      </c>
    </row>
    <row r="520" spans="2:8" ht="15.75" thickBot="1" x14ac:dyDescent="0.35">
      <c r="B520" s="92" t="s">
        <v>47</v>
      </c>
      <c r="C520" s="93"/>
      <c r="D520" s="99">
        <f>VLOOKUP($D515,'3. 요건기술서 전체'!$B:$L,2,0)</f>
        <v>0</v>
      </c>
      <c r="E520" s="100"/>
      <c r="F520" s="101"/>
      <c r="H520" s="36">
        <v>0</v>
      </c>
    </row>
    <row r="521" spans="2:8" ht="15.75" thickBot="1" x14ac:dyDescent="0.35">
      <c r="H521" s="36"/>
    </row>
    <row r="522" spans="2:8" x14ac:dyDescent="0.3">
      <c r="B522" s="96" t="s">
        <v>41</v>
      </c>
      <c r="C522" s="97"/>
      <c r="D522" s="30" t="s">
        <v>53</v>
      </c>
      <c r="E522" s="31" t="s">
        <v>131</v>
      </c>
      <c r="F522" s="32" t="str">
        <f>VLOOKUP($D523,'3. 요건기술서 전체'!$B:$L,6,0)</f>
        <v>필수</v>
      </c>
      <c r="H522" s="37" t="s">
        <v>689</v>
      </c>
    </row>
    <row r="523" spans="2:8" x14ac:dyDescent="0.3">
      <c r="B523" s="94" t="s">
        <v>42</v>
      </c>
      <c r="C523" s="95"/>
      <c r="D523" s="33" t="str">
        <f>LEFT(D515,3)&amp;"-"&amp;TEXT(VALUE(RIGHT(D515,3))+1,"000")</f>
        <v>SFR-065</v>
      </c>
      <c r="E523" s="34" t="s">
        <v>85</v>
      </c>
      <c r="F523" s="35" t="str">
        <f>IFERROR(TRIM(IF(VLOOKUP($D523,'3. 요건기술서 전체'!$B:$L,10,0)&lt;&gt;"",IF(VLOOKUP($D523,'3. 요건기술서 전체'!$B:$L,10,0)="O", "한난O", IF(VLOOKUP($D523,'3. 요건기술서 전체'!$B:$L,10,0)="X", "한난X", "")),"") &amp; " " &amp;IF(VLOOKUP($D523,'3. 요건기술서 전체'!$B:$L,11,0)&lt;&gt;"",IF(VLOOKUP($D523,'3. 요건기술서 전체'!$B:$L,11,0)="O", "외부O", IF(VLOOKUP($D523,'3. 요건기술서 전체'!$B:$L,11,0)="X", "외부X", "")),"")),"")</f>
        <v/>
      </c>
      <c r="H523" s="37" t="s">
        <v>408</v>
      </c>
    </row>
    <row r="524" spans="2:8" x14ac:dyDescent="0.3">
      <c r="B524" s="94" t="s">
        <v>43</v>
      </c>
      <c r="C524" s="95"/>
      <c r="D524" s="85" t="str">
        <f>VLOOKUP($D523,'3. 요건기술서 전체'!$B:$L,5,0)</f>
        <v>품질실적관리 -현황</v>
      </c>
      <c r="E524" s="86"/>
      <c r="F524" s="87"/>
      <c r="H524" s="37" t="s">
        <v>838</v>
      </c>
    </row>
    <row r="525" spans="2:8" ht="25.5" x14ac:dyDescent="0.3">
      <c r="B525" s="98" t="s">
        <v>44</v>
      </c>
      <c r="C525" s="43" t="s">
        <v>45</v>
      </c>
      <c r="D525" s="85" t="str">
        <f>VLOOKUP($D523,'3. 요건기술서 전체'!$B:$L,7,0)</f>
        <v>입회신청서 검사결과 현황 조회/출력
(품질관리 -건설용)</v>
      </c>
      <c r="E525" s="86"/>
      <c r="F525" s="87"/>
      <c r="H525" s="37" t="s">
        <v>839</v>
      </c>
    </row>
    <row r="526" spans="2:8" ht="153" x14ac:dyDescent="0.3">
      <c r="B526" s="98"/>
      <c r="C526" s="43" t="s">
        <v>46</v>
      </c>
      <c r="D526" s="85" t="str">
        <f>VLOOKUP($D523,'3. 요건기술서 전체'!$B:$L,8,0)</f>
        <v xml:space="preserve">○ 전체/분류, 계약명, 현황분석기간에 따른 입회 신청서 조회
 - 사업별 검사 실적 현황, 부적합 원인별 검사 현황, 기기별 검사 현황, 업체별 검사 현황, 검사주체별 검사 현황 등
○ 출력 내용
 - 검사결과 현황 분석 보고서
 - 사업별 검사 실적 현황
 - 부적합 원인별 검사 현황
 - 기기별 검사 현황
 - 업체별 검사 현황
 - 검사주체별 검사 현황
○ PDF, Excel, Word 등으로 저장 기능
○ 페이지 이동, 확대, 텍스트 검색 기능
○ 기존 DB (PDF 로 등록 및 다운로드 가능) - &gt; 품질관리(유지보수용)에서 받을 수 있다 </v>
      </c>
      <c r="E526" s="86"/>
      <c r="F526" s="87"/>
      <c r="H526" s="44" t="s">
        <v>840</v>
      </c>
    </row>
    <row r="527" spans="2:8" x14ac:dyDescent="0.3">
      <c r="B527" s="90" t="s">
        <v>871</v>
      </c>
      <c r="C527" s="91"/>
      <c r="D527" s="88">
        <f>VLOOKUP(D523, '3. 요건기술서 전체'!$B:$L, 9, 0)</f>
        <v>0</v>
      </c>
      <c r="E527" s="88"/>
      <c r="F527" s="89"/>
      <c r="H527" s="36">
        <v>0</v>
      </c>
    </row>
    <row r="528" spans="2:8" ht="15.75" thickBot="1" x14ac:dyDescent="0.35">
      <c r="B528" s="92" t="s">
        <v>47</v>
      </c>
      <c r="C528" s="93"/>
      <c r="D528" s="99">
        <f>VLOOKUP($D523,'3. 요건기술서 전체'!$B:$L,2,0)</f>
        <v>0</v>
      </c>
      <c r="E528" s="100"/>
      <c r="F528" s="101"/>
      <c r="H528" s="36">
        <v>0</v>
      </c>
    </row>
    <row r="529" spans="2:8" ht="15.75" thickBot="1" x14ac:dyDescent="0.35">
      <c r="H529" s="37"/>
    </row>
    <row r="530" spans="2:8" x14ac:dyDescent="0.3">
      <c r="B530" s="96" t="s">
        <v>41</v>
      </c>
      <c r="C530" s="97"/>
      <c r="D530" s="30" t="s">
        <v>53</v>
      </c>
      <c r="E530" s="31" t="s">
        <v>131</v>
      </c>
      <c r="F530" s="32" t="str">
        <f>VLOOKUP($D531,'3. 요건기술서 전체'!$B:$L,6,0)</f>
        <v>필수</v>
      </c>
      <c r="H530" s="37" t="s">
        <v>689</v>
      </c>
    </row>
    <row r="531" spans="2:8" x14ac:dyDescent="0.3">
      <c r="B531" s="94" t="s">
        <v>42</v>
      </c>
      <c r="C531" s="95"/>
      <c r="D531" s="33" t="str">
        <f>LEFT(D523,3)&amp;"-"&amp;TEXT(VALUE(RIGHT(D523,3))+1,"000")</f>
        <v>SFR-066</v>
      </c>
      <c r="E531" s="34" t="s">
        <v>85</v>
      </c>
      <c r="F531" s="35" t="str">
        <f>IFERROR(TRIM(IF(VLOOKUP($D531,'3. 요건기술서 전체'!$B:$L,10,0)&lt;&gt;"",IF(VLOOKUP($D531,'3. 요건기술서 전체'!$B:$L,10,0)="O", "한난O", IF(VLOOKUP($D531,'3. 요건기술서 전체'!$B:$L,10,0)="X", "한난X", "")),"") &amp; " " &amp;IF(VLOOKUP($D531,'3. 요건기술서 전체'!$B:$L,11,0)&lt;&gt;"",IF(VLOOKUP($D531,'3. 요건기술서 전체'!$B:$L,11,0)="O", "외부O", IF(VLOOKUP($D531,'3. 요건기술서 전체'!$B:$L,11,0)="X", "외부X", "")),"")),"")</f>
        <v/>
      </c>
      <c r="H531" s="37" t="s">
        <v>409</v>
      </c>
    </row>
    <row r="532" spans="2:8" x14ac:dyDescent="0.3">
      <c r="B532" s="94" t="s">
        <v>43</v>
      </c>
      <c r="C532" s="95"/>
      <c r="D532" s="85" t="str">
        <f>VLOOKUP($D531,'3. 요건기술서 전체'!$B:$L,5,0)</f>
        <v>프로젝트 폴더</v>
      </c>
      <c r="E532" s="86"/>
      <c r="F532" s="87"/>
      <c r="H532" s="37" t="s">
        <v>410</v>
      </c>
    </row>
    <row r="533" spans="2:8" x14ac:dyDescent="0.3">
      <c r="B533" s="98" t="s">
        <v>44</v>
      </c>
      <c r="C533" s="43" t="s">
        <v>45</v>
      </c>
      <c r="D533" s="85" t="str">
        <f>VLOOKUP($D531,'3. 요건기술서 전체'!$B:$L,7,0)</f>
        <v>프로젝트 폴더와 프로젝트 문서관리</v>
      </c>
      <c r="E533" s="86"/>
      <c r="F533" s="87"/>
      <c r="H533" s="44" t="s">
        <v>690</v>
      </c>
    </row>
    <row r="534" spans="2:8" ht="306" x14ac:dyDescent="0.3">
      <c r="B534" s="98"/>
      <c r="C534" s="43" t="s">
        <v>46</v>
      </c>
      <c r="D534" s="85" t="str">
        <f>VLOOKUP($D531,'3. 요건기술서 전체'!$B:$L,8,0)</f>
        <v xml:space="preserve">○ 프로젝트 폴더는 표준 분류체계 내용 대로 프로젝트 마다 동일한 구조로 생성되고, 시스템관리자 → 프로젝트 설정에서 변경 기능
○ 조회
 - 선택한 폴더 내의 문서가 화면에 출력되고, 문서번호, 제목, 유형, 개정번호, 크기, 형식, 수정날짜를 클릭하면 각 항목별 정렬 기능
 - 폴더 내의 문서는 조건검색 기능
 - 페이지 이동버튼 제공 (이전/다음/처음/마지막/특정)
○ 등록
 - 파일 추가/삭제 등 기능
 - 파일의 버전관리
 - 등록하는 문서의 종류 선택 기능(사업관리/설계/Vender Print 공급자 등)
○ 상세검색
 - 문서의 등록정보 확인 기능
 - 상세검색 기능
○ Export
 - 단일문서/다중문서를 선택하여 다운로드 기능
 - 선택한 문서 속성의 Export 기능
○ 접근권한 변경
 - 사용자별, 그룹별로 접근권한의 확인 기능
 - 사용자/그룹 단위로 접근권한 추가/수정/삭제 기능
○ 문서 관리
 - 등록된 의견 관리 기능
 - 분야별 담당자 교체 및 할당된 문서가 남아있는지 확인 기능
 - 담당자 변경 시 기존 검토중인 문서의 자동 이관 기능
 - 설계사의 권한부여를 통한 도서 검토 기능
○ 준공 전 템플릿 Export/Import를 통해 설비정보(설비마스터)를 입력하고, 프로젝트 완료 시 플랜트관리시스템(PIMS)에 자동으로 설비정보 연계 </v>
      </c>
      <c r="E534" s="86"/>
      <c r="F534" s="87"/>
      <c r="H534" s="36" t="s">
        <v>842</v>
      </c>
    </row>
    <row r="535" spans="2:8" x14ac:dyDescent="0.3">
      <c r="B535" s="90" t="s">
        <v>871</v>
      </c>
      <c r="C535" s="91"/>
      <c r="D535" s="88">
        <f>VLOOKUP(D531, '3. 요건기술서 전체'!$B:$L, 9, 0)</f>
        <v>0</v>
      </c>
      <c r="E535" s="88"/>
      <c r="F535" s="89"/>
      <c r="H535" s="36">
        <v>0</v>
      </c>
    </row>
    <row r="536" spans="2:8" ht="15.75" thickBot="1" x14ac:dyDescent="0.35">
      <c r="B536" s="92" t="s">
        <v>47</v>
      </c>
      <c r="C536" s="93"/>
      <c r="D536" s="99">
        <f>VLOOKUP($D531,'3. 요건기술서 전체'!$B:$L,2,0)</f>
        <v>0</v>
      </c>
      <c r="E536" s="100"/>
      <c r="F536" s="101"/>
      <c r="H536" s="37">
        <v>0</v>
      </c>
    </row>
    <row r="537" spans="2:8" ht="15.75" thickBot="1" x14ac:dyDescent="0.35">
      <c r="H537" s="37"/>
    </row>
    <row r="538" spans="2:8" x14ac:dyDescent="0.3">
      <c r="B538" s="96" t="s">
        <v>41</v>
      </c>
      <c r="C538" s="97"/>
      <c r="D538" s="30" t="s">
        <v>53</v>
      </c>
      <c r="E538" s="31" t="s">
        <v>131</v>
      </c>
      <c r="F538" s="32" t="str">
        <f>VLOOKUP($D539,'3. 요건기술서 전체'!$B:$L,6,0)</f>
        <v>필수</v>
      </c>
      <c r="H538" s="37" t="s">
        <v>689</v>
      </c>
    </row>
    <row r="539" spans="2:8" x14ac:dyDescent="0.3">
      <c r="B539" s="94" t="s">
        <v>42</v>
      </c>
      <c r="C539" s="95"/>
      <c r="D539" s="33" t="str">
        <f>LEFT(D531,3)&amp;"-"&amp;TEXT(VALUE(RIGHT(D531,3))+1,"000")</f>
        <v>SFR-067</v>
      </c>
      <c r="E539" s="34" t="s">
        <v>85</v>
      </c>
      <c r="F539" s="35" t="str">
        <f>IFERROR(TRIM(IF(VLOOKUP($D539,'3. 요건기술서 전체'!$B:$L,10,0)&lt;&gt;"",IF(VLOOKUP($D539,'3. 요건기술서 전체'!$B:$L,10,0)="O", "한난O", IF(VLOOKUP($D539,'3. 요건기술서 전체'!$B:$L,10,0)="X", "한난X", "")),"") &amp; " " &amp;IF(VLOOKUP($D539,'3. 요건기술서 전체'!$B:$L,11,0)&lt;&gt;"",IF(VLOOKUP($D539,'3. 요건기술서 전체'!$B:$L,11,0)="O", "외부O", IF(VLOOKUP($D539,'3. 요건기술서 전체'!$B:$L,11,0)="X", "외부X", "")),"")),"")</f>
        <v/>
      </c>
      <c r="H539" s="37" t="s">
        <v>411</v>
      </c>
    </row>
    <row r="540" spans="2:8" x14ac:dyDescent="0.3">
      <c r="B540" s="94" t="s">
        <v>43</v>
      </c>
      <c r="C540" s="95"/>
      <c r="D540" s="85" t="str">
        <f>VLOOKUP($D539,'3. 요건기술서 전체'!$B:$L,5,0)</f>
        <v>프로젝트 관리자의 기능</v>
      </c>
      <c r="E540" s="86"/>
      <c r="F540" s="87"/>
      <c r="H540" s="44" t="s">
        <v>412</v>
      </c>
    </row>
    <row r="541" spans="2:8" x14ac:dyDescent="0.3">
      <c r="B541" s="98" t="s">
        <v>44</v>
      </c>
      <c r="C541" s="43" t="s">
        <v>45</v>
      </c>
      <c r="D541" s="85" t="str">
        <f>VLOOKUP($D539,'3. 요건기술서 전체'!$B:$L,7,0)</f>
        <v>프로젝트 관리자의 기능</v>
      </c>
      <c r="E541" s="86"/>
      <c r="F541" s="87"/>
      <c r="H541" s="36" t="s">
        <v>412</v>
      </c>
    </row>
    <row r="542" spans="2:8" ht="409.5" x14ac:dyDescent="0.3">
      <c r="B542" s="98"/>
      <c r="C542" s="43" t="s">
        <v>46</v>
      </c>
      <c r="D542" s="85" t="str">
        <f>VLOOKUP($D539,'3. 요건기술서 전체'!$B:$L,8,0)</f>
        <v>○ 프로젝트 관리
 - 전자계약시스템과 연계하여 영업/계약 정보를 선택하여 프로젝트 생성 기능
 - 프로젝트 생성 시 템플릿을 선택하여 프로젝트에서 사용되는 폴더, 문서분류코드, STAGE, REV등 기본적인 정보 자동 설정 기능
 - 프로젝트 생성 시 기존 프로젝트를 참조하여 복사 기능
 - 프로젝트 생성 시 워크플로우 선택 기능
 -프로젝트 생성 시 설계회사, 지사, 건설사(시공사) 단독 또는 중복 등록 기능
 - 프로젝트명, 코드, 구분, 분야별 담당자, 배포처 설정, REV, 계약사, 계약일, 준공일 등 관리 기능
 - 프로젝트 진행현황 관리 기능
 - 문서 이력 관리 기능 (설계현황 및 진도, Revision 이력 등)
 - 분야별 DCL 현황 조회 기능
 - 프로젝트 종료 기능
 - 프로젝트 종료 시 타 시스템 연계를 통해 종료정보가 전달되며, 완료 프로젝트로 정리
○ 사용자 관리
 -프로젝트별 내부사용자 및 외부사용자 관리 기능
 - 내부사용자는 담당자 교체 시 이전 담당자의 업무 권한을 승계 받아 업무처리
 - 내부사용자와 프로젝트 폴더의 담당부서와 연동
 - 외부사용자는 해당 프로젝트의 프로젝트 폴더와 연동되어야 하며, 프로젝트 종료 시 외부사용자 계정은 사용중지 
○ 관련사/조직원 관리 (외부사용자)
 - 관련사/조직원의 조회/추가/수정/삭제/검색 등 기능
 - 관련사/조직원을 구분에 따른 추가 및 변경 기능(구분 없음, 계약상대자, 제조사, 설계사, 건설사, 기자재검사 등)
 - 템플릿 Export/Import를 통한 입력 기능
○ 프로젝트 폴더 관리
 -프로젝트 폴더의 추가/수정/이관/삭제 등 기능
 - 프로젝트 폴더는 표준 분류체계 내용대로 생성(OBS, FBS, PBS로 구성, 폴더구조는 FBS와 같은 형태)
 - 프로젝트 폴더 분류의 변경 기능
 - 생성된 프로젝트 폴더 내 VDLC(기자재도서), EDLC(설계도서)는 승인용, 건설용으로 구분
○ 설계계획서 설정
 - 설계 품질등급(1, 2, 3) 설정 기능(사업규모, 기간, 계약금액으로 자동설정 및 변경 가능)
 - 타 프로젝트의 속성의 복사 구성 기능
 - 설계성과물 Revision, Stage, Progress Code 설정 기능
 - 검토단계별 최소 검토일자 설정 기능
 - 설계성과물 리스트 개별 추가/수정/삭제 기능
 - 템플릿 Export/Import를 통한 설계성과물 입력 기능
 - 설계 준수사항 공지 기능
 - 작성 완료 후 검토 확인 요청 기능
 - 설계계획서 분야별 세부 확인 및 의견등록 기능
 - 설계계획서 분야별/일자별/타입별 등의 검색 기능
 - 최종수정일을 자동 체크 기능 (분야별 수시변경 가능)
 - 설계계획서 인쇄 기능(표준양식에 의한 설계계획서, 분야별 DCL 리스트)
○ 조직/제출목적/검토결과의 추가/수정/삭제 기능
○ 배포처 설정
 - 템플릿 Export/Import를 통한 입력 기능
○ 프로젝트 생성 템플릿 번호체계 (업무지시전, 문서처리전, Submittal, 품질관리) 추가/수정/삭제 기능
○ 속성, 사업소, 문서분류, 품질기자재, 품질부적합, 품질검사항목 등 코드관리 기능
○ 워크플로우는 프로젝트별로 다르게 적용</v>
      </c>
      <c r="E542" s="86"/>
      <c r="F542" s="87"/>
      <c r="H542" s="36" t="s">
        <v>1076</v>
      </c>
    </row>
    <row r="543" spans="2:8" x14ac:dyDescent="0.3">
      <c r="B543" s="90" t="s">
        <v>871</v>
      </c>
      <c r="C543" s="91"/>
      <c r="D543" s="88">
        <f>VLOOKUP(D539, '3. 요건기술서 전체'!$B:$L, 9, 0)</f>
        <v>0</v>
      </c>
      <c r="E543" s="88"/>
      <c r="F543" s="89"/>
      <c r="H543" s="37">
        <v>0</v>
      </c>
    </row>
    <row r="544" spans="2:8" ht="15.75" thickBot="1" x14ac:dyDescent="0.35">
      <c r="B544" s="92" t="s">
        <v>47</v>
      </c>
      <c r="C544" s="93"/>
      <c r="D544" s="99">
        <f>VLOOKUP($D539,'3. 요건기술서 전체'!$B:$L,2,0)</f>
        <v>0</v>
      </c>
      <c r="E544" s="100"/>
      <c r="F544" s="101"/>
      <c r="H544" s="37">
        <v>0</v>
      </c>
    </row>
    <row r="545" spans="2:8" ht="15.75" thickBot="1" x14ac:dyDescent="0.35">
      <c r="H545" s="37"/>
    </row>
    <row r="546" spans="2:8" x14ac:dyDescent="0.3">
      <c r="B546" s="96" t="s">
        <v>41</v>
      </c>
      <c r="C546" s="97"/>
      <c r="D546" s="30" t="s">
        <v>53</v>
      </c>
      <c r="E546" s="31" t="s">
        <v>131</v>
      </c>
      <c r="F546" s="32" t="str">
        <f>VLOOKUP($D547,'3. 요건기술서 전체'!$B:$L,6,0)</f>
        <v>필수</v>
      </c>
      <c r="H546" s="37" t="s">
        <v>689</v>
      </c>
    </row>
    <row r="547" spans="2:8" x14ac:dyDescent="0.3">
      <c r="B547" s="94" t="s">
        <v>42</v>
      </c>
      <c r="C547" s="95"/>
      <c r="D547" s="33" t="str">
        <f>LEFT(D539,3)&amp;"-"&amp;TEXT(VALUE(RIGHT(D539,3))+1,"000")</f>
        <v>SFR-068</v>
      </c>
      <c r="E547" s="34" t="s">
        <v>85</v>
      </c>
      <c r="F547" s="35" t="str">
        <f>IFERROR(TRIM(IF(VLOOKUP($D547,'3. 요건기술서 전체'!$B:$L,10,0)&lt;&gt;"",IF(VLOOKUP($D547,'3. 요건기술서 전체'!$B:$L,10,0)="O", "한난O", IF(VLOOKUP($D547,'3. 요건기술서 전체'!$B:$L,10,0)="X", "한난X", "")),"") &amp; " " &amp;IF(VLOOKUP($D547,'3. 요건기술서 전체'!$B:$L,11,0)&lt;&gt;"",IF(VLOOKUP($D547,'3. 요건기술서 전체'!$B:$L,11,0)="O", "외부O", IF(VLOOKUP($D547,'3. 요건기술서 전체'!$B:$L,11,0)="X", "외부X", "")),"")),"")</f>
        <v/>
      </c>
      <c r="H547" s="44" t="s">
        <v>413</v>
      </c>
    </row>
    <row r="548" spans="2:8" x14ac:dyDescent="0.3">
      <c r="B548" s="94" t="s">
        <v>43</v>
      </c>
      <c r="C548" s="95"/>
      <c r="D548" s="85" t="str">
        <f>VLOOKUP($D547,'3. 요건기술서 전체'!$B:$L,5,0)</f>
        <v>현장기술지원</v>
      </c>
      <c r="E548" s="86"/>
      <c r="F548" s="87"/>
      <c r="H548" s="36" t="s">
        <v>573</v>
      </c>
    </row>
    <row r="549" spans="2:8" x14ac:dyDescent="0.3">
      <c r="B549" s="98" t="s">
        <v>44</v>
      </c>
      <c r="C549" s="43" t="s">
        <v>45</v>
      </c>
      <c r="D549" s="85" t="str">
        <f>VLOOKUP($D547,'3. 요건기술서 전체'!$B:$L,7,0)</f>
        <v>현장기술지원</v>
      </c>
      <c r="E549" s="86"/>
      <c r="F549" s="87"/>
      <c r="H549" s="36" t="s">
        <v>573</v>
      </c>
    </row>
    <row r="550" spans="2:8" ht="114.75" x14ac:dyDescent="0.3">
      <c r="B550" s="98"/>
      <c r="C550" s="43" t="s">
        <v>46</v>
      </c>
      <c r="D550" s="85" t="str">
        <f>VLOOKUP($D547,'3. 요건기술서 전체'!$B:$L,8,0)</f>
        <v>○ 현장기술지원(토건시설물) : 건설관리부 토건시설물 유지보수 기술지원 (건설관리 시스템 內 구현)
 - 기술지원(공법선정, 예상공사비, 예산협조) 요청 등록 
 - 기술지원서 의견 송부
 - (현황 또는 이력관리) 시설물 유지관리 기록대장 
 - 우리공사 별도 양식 제공
○ 현장기술지원(현장연구) : 현장 기술지원 연구용역 지원 요청(플랜트관리 시스템 內 구현)
 - 현장기술지원 요청 및 현장기술지원 검토결과로 구성
○ 현장기술지원(품질관리) : 현장연구(열수송, 열원 등) 및 품질 검사 지원 요청(플랜트관리 시스템 內 구현)
 - 품질 검사 입회요청 및 품질 검사 입회 결과로 구성</v>
      </c>
      <c r="E550" s="86"/>
      <c r="F550" s="87"/>
      <c r="H550" s="37" t="s">
        <v>1020</v>
      </c>
    </row>
    <row r="551" spans="2:8" x14ac:dyDescent="0.3">
      <c r="B551" s="90" t="s">
        <v>871</v>
      </c>
      <c r="C551" s="91"/>
      <c r="D551" s="88">
        <f>VLOOKUP(D547, '3. 요건기술서 전체'!$B:$L, 9, 0)</f>
        <v>0</v>
      </c>
      <c r="E551" s="88"/>
      <c r="F551" s="89"/>
      <c r="H551" s="37">
        <v>0</v>
      </c>
    </row>
    <row r="552" spans="2:8" ht="15.75" thickBot="1" x14ac:dyDescent="0.35">
      <c r="B552" s="92" t="s">
        <v>47</v>
      </c>
      <c r="C552" s="93"/>
      <c r="D552" s="99">
        <f>VLOOKUP($D547,'3. 요건기술서 전체'!$B:$L,2,0)</f>
        <v>0</v>
      </c>
      <c r="E552" s="100"/>
      <c r="F552" s="101"/>
      <c r="H552" s="37">
        <v>0</v>
      </c>
    </row>
    <row r="553" spans="2:8" ht="15.75" thickBot="1" x14ac:dyDescent="0.35">
      <c r="H553" s="37"/>
    </row>
    <row r="554" spans="2:8" x14ac:dyDescent="0.3">
      <c r="B554" s="96" t="s">
        <v>41</v>
      </c>
      <c r="C554" s="97"/>
      <c r="D554" s="30" t="s">
        <v>53</v>
      </c>
      <c r="E554" s="31" t="s">
        <v>131</v>
      </c>
      <c r="F554" s="32" t="str">
        <f>VLOOKUP($D555,'3. 요건기술서 전체'!$B:$L,6,0)</f>
        <v>필수</v>
      </c>
      <c r="H554" s="44" t="s">
        <v>689</v>
      </c>
    </row>
    <row r="555" spans="2:8" x14ac:dyDescent="0.3">
      <c r="B555" s="94" t="s">
        <v>42</v>
      </c>
      <c r="C555" s="95"/>
      <c r="D555" s="33" t="str">
        <f>LEFT(D547,3)&amp;"-"&amp;TEXT(VALUE(RIGHT(D547,3))+1,"000")</f>
        <v>SFR-069</v>
      </c>
      <c r="E555" s="34" t="s">
        <v>85</v>
      </c>
      <c r="F555" s="35" t="str">
        <f>IFERROR(TRIM(IF(VLOOKUP($D555,'3. 요건기술서 전체'!$B:$L,10,0)&lt;&gt;"",IF(VLOOKUP($D555,'3. 요건기술서 전체'!$B:$L,10,0)="O", "한난O", IF(VLOOKUP($D555,'3. 요건기술서 전체'!$B:$L,10,0)="X", "한난X", "")),"") &amp; " " &amp;IF(VLOOKUP($D555,'3. 요건기술서 전체'!$B:$L,11,0)&lt;&gt;"",IF(VLOOKUP($D555,'3. 요건기술서 전체'!$B:$L,11,0)="O", "외부O", IF(VLOOKUP($D555,'3. 요건기술서 전체'!$B:$L,11,0)="X", "외부X", "")),"")),"")</f>
        <v/>
      </c>
      <c r="H555" s="36" t="s">
        <v>414</v>
      </c>
    </row>
    <row r="556" spans="2:8" x14ac:dyDescent="0.3">
      <c r="B556" s="94" t="s">
        <v>43</v>
      </c>
      <c r="C556" s="95"/>
      <c r="D556" s="85" t="str">
        <f>VLOOKUP($D555,'3. 요건기술서 전체'!$B:$L,5,0)</f>
        <v>REPLY SHEET 기능</v>
      </c>
      <c r="E556" s="86"/>
      <c r="F556" s="87"/>
      <c r="H556" s="36" t="s">
        <v>415</v>
      </c>
    </row>
    <row r="557" spans="2:8" x14ac:dyDescent="0.3">
      <c r="B557" s="98" t="s">
        <v>44</v>
      </c>
      <c r="C557" s="43" t="s">
        <v>45</v>
      </c>
      <c r="D557" s="85" t="str">
        <f>VLOOKUP($D555,'3. 요건기술서 전체'!$B:$L,7,0)</f>
        <v>검토이력 관련 정보 SHEET 제공 기능</v>
      </c>
      <c r="E557" s="86"/>
      <c r="F557" s="87"/>
      <c r="H557" s="37" t="s">
        <v>574</v>
      </c>
    </row>
    <row r="558" spans="2:8" ht="38.25" x14ac:dyDescent="0.3">
      <c r="B558" s="98"/>
      <c r="C558" s="43" t="s">
        <v>46</v>
      </c>
      <c r="D558" s="85" t="str">
        <f>VLOOKUP($D555,'3. 요건기술서 전체'!$B:$L,8,0)</f>
        <v>○ 도서 검토의견에 대한 업체의 수정사항 반영결과의 기록 및 조회 기능
○ 검토의견에 대한 미반영 현황과 처리 결과의 Version 단위 조회 기능
○ 검토의견 작성 시, 검토의견 이력정보의 제공 및 확인 기능</v>
      </c>
      <c r="E558" s="86"/>
      <c r="F558" s="87"/>
      <c r="H558" s="37" t="s">
        <v>1077</v>
      </c>
    </row>
    <row r="559" spans="2:8" x14ac:dyDescent="0.3">
      <c r="B559" s="90" t="s">
        <v>871</v>
      </c>
      <c r="C559" s="91"/>
      <c r="D559" s="88">
        <f>VLOOKUP(D555, '3. 요건기술서 전체'!$B:$L, 9, 0)</f>
        <v>0</v>
      </c>
      <c r="E559" s="88"/>
      <c r="F559" s="89"/>
      <c r="H559" s="37">
        <v>0</v>
      </c>
    </row>
    <row r="560" spans="2:8" ht="15.75" thickBot="1" x14ac:dyDescent="0.35">
      <c r="B560" s="92" t="s">
        <v>47</v>
      </c>
      <c r="C560" s="93"/>
      <c r="D560" s="99">
        <f>VLOOKUP($D555,'3. 요건기술서 전체'!$B:$L,2,0)</f>
        <v>0</v>
      </c>
      <c r="E560" s="100"/>
      <c r="F560" s="101"/>
      <c r="H560" s="37">
        <v>0</v>
      </c>
    </row>
    <row r="561" spans="2:8" ht="15.75" thickBot="1" x14ac:dyDescent="0.35"/>
    <row r="562" spans="2:8" x14ac:dyDescent="0.3">
      <c r="B562" s="96" t="s">
        <v>41</v>
      </c>
      <c r="C562" s="97"/>
      <c r="D562" s="30" t="s">
        <v>53</v>
      </c>
      <c r="E562" s="31" t="s">
        <v>131</v>
      </c>
      <c r="F562" s="32" t="str">
        <f>VLOOKUP($D563,'3. 요건기술서 전체'!$B:$L,6,0)</f>
        <v>필수</v>
      </c>
      <c r="H562" s="36" t="s">
        <v>689</v>
      </c>
    </row>
    <row r="563" spans="2:8" x14ac:dyDescent="0.3">
      <c r="B563" s="94" t="s">
        <v>42</v>
      </c>
      <c r="C563" s="95"/>
      <c r="D563" s="33" t="str">
        <f>LEFT(D555,3)&amp;"-"&amp;TEXT(VALUE(RIGHT(D555,3))+1,"000")</f>
        <v>SFR-070</v>
      </c>
      <c r="E563" s="34" t="s">
        <v>85</v>
      </c>
      <c r="F563" s="35" t="str">
        <f>IFERROR(TRIM(IF(VLOOKUP($D563,'3. 요건기술서 전체'!$B:$L,10,0)&lt;&gt;"",IF(VLOOKUP($D563,'3. 요건기술서 전체'!$B:$L,10,0)="O", "한난O", IF(VLOOKUP($D563,'3. 요건기술서 전체'!$B:$L,10,0)="X", "한난X", "")),"") &amp; " " &amp;IF(VLOOKUP($D563,'3. 요건기술서 전체'!$B:$L,11,0)&lt;&gt;"",IF(VLOOKUP($D563,'3. 요건기술서 전체'!$B:$L,11,0)="O", "외부O", IF(VLOOKUP($D563,'3. 요건기술서 전체'!$B:$L,11,0)="X", "외부X", "")),"")),"")</f>
        <v/>
      </c>
      <c r="H563" s="36" t="s">
        <v>416</v>
      </c>
    </row>
    <row r="564" spans="2:8" x14ac:dyDescent="0.3">
      <c r="B564" s="94" t="s">
        <v>43</v>
      </c>
      <c r="C564" s="95"/>
      <c r="D564" s="85" t="str">
        <f>VLOOKUP($D563,'3. 요건기술서 전체'!$B:$L,5,0)</f>
        <v>첨부 Viewer를 통한 편집 기능</v>
      </c>
      <c r="E564" s="86"/>
      <c r="F564" s="87"/>
      <c r="H564" s="37" t="s">
        <v>417</v>
      </c>
    </row>
    <row r="565" spans="2:8" x14ac:dyDescent="0.3">
      <c r="B565" s="98" t="s">
        <v>44</v>
      </c>
      <c r="C565" s="43" t="s">
        <v>45</v>
      </c>
      <c r="D565" s="85" t="str">
        <f>VLOOKUP($D563,'3. 요건기술서 전체'!$B:$L,7,0)</f>
        <v>첨부 Viewer 툴을 이용한 열람, 편집 기능</v>
      </c>
      <c r="E565" s="86"/>
      <c r="F565" s="87"/>
      <c r="H565" s="37" t="s">
        <v>575</v>
      </c>
    </row>
    <row r="566" spans="2:8" ht="63.75" x14ac:dyDescent="0.3">
      <c r="B566" s="98"/>
      <c r="C566" s="43" t="s">
        <v>46</v>
      </c>
      <c r="D566" s="85" t="str">
        <f>VLOOKUP($D563,'3. 요건기술서 전체'!$B:$L,8,0)</f>
        <v>○ 첨부파일 중 도면 열람은 서버에 있는 파일을 로컬 PC로 다운받지 않고 계약상대자가 제공하는 첨부 Viewer로 열람 가능
○ 첨부 Viewer에서 검토 의견을 Markup(선, 텍스트, 도형입력 등)으로 표현
○ 첨부 Viewer에서 워터마크 표시 기능
○ 문서 출력 시 출력 화면에 정보(출력자, 출력일시 등)의 표시
○ 첨부 Viewer에서 텍스트를 색인하여 관련 자료의 검색 기능</v>
      </c>
      <c r="E566" s="86"/>
      <c r="F566" s="87"/>
      <c r="H566" s="37" t="s">
        <v>1078</v>
      </c>
    </row>
    <row r="567" spans="2:8" x14ac:dyDescent="0.3">
      <c r="B567" s="90" t="s">
        <v>871</v>
      </c>
      <c r="C567" s="91"/>
      <c r="D567" s="88">
        <f>VLOOKUP(D563, '3. 요건기술서 전체'!$B:$L, 9, 0)</f>
        <v>0</v>
      </c>
      <c r="E567" s="88"/>
      <c r="F567" s="89"/>
      <c r="H567" s="37">
        <v>0</v>
      </c>
    </row>
    <row r="568" spans="2:8" ht="15.75" thickBot="1" x14ac:dyDescent="0.35">
      <c r="B568" s="92" t="s">
        <v>47</v>
      </c>
      <c r="C568" s="93"/>
      <c r="D568" s="99">
        <f>VLOOKUP($D563,'3. 요건기술서 전체'!$B:$L,2,0)</f>
        <v>0</v>
      </c>
      <c r="E568" s="100"/>
      <c r="F568" s="101"/>
      <c r="H568" s="44">
        <v>0</v>
      </c>
    </row>
    <row r="569" spans="2:8" ht="15.75" thickBot="1" x14ac:dyDescent="0.35">
      <c r="H569" s="36"/>
    </row>
    <row r="570" spans="2:8" x14ac:dyDescent="0.3">
      <c r="B570" s="96" t="s">
        <v>41</v>
      </c>
      <c r="C570" s="97"/>
      <c r="D570" s="30" t="s">
        <v>53</v>
      </c>
      <c r="E570" s="31" t="s">
        <v>131</v>
      </c>
      <c r="F570" s="32" t="str">
        <f>VLOOKUP($D571,'3. 요건기술서 전체'!$B:$L,6,0)</f>
        <v>필수</v>
      </c>
      <c r="H570" s="36" t="s">
        <v>689</v>
      </c>
    </row>
    <row r="571" spans="2:8" x14ac:dyDescent="0.3">
      <c r="B571" s="94" t="s">
        <v>42</v>
      </c>
      <c r="C571" s="95"/>
      <c r="D571" s="33" t="str">
        <f>LEFT(D563,3)&amp;"-"&amp;TEXT(VALUE(RIGHT(D563,3))+1,"000")</f>
        <v>SFR-071</v>
      </c>
      <c r="E571" s="34" t="s">
        <v>85</v>
      </c>
      <c r="F571" s="35" t="str">
        <f>IFERROR(TRIM(IF(VLOOKUP($D571,'3. 요건기술서 전체'!$B:$L,10,0)&lt;&gt;"",IF(VLOOKUP($D571,'3. 요건기술서 전체'!$B:$L,10,0)="O", "한난O", IF(VLOOKUP($D571,'3. 요건기술서 전체'!$B:$L,10,0)="X", "한난X", "")),"") &amp; " " &amp;IF(VLOOKUP($D571,'3. 요건기술서 전체'!$B:$L,11,0)&lt;&gt;"",IF(VLOOKUP($D571,'3. 요건기술서 전체'!$B:$L,11,0)="O", "외부O", IF(VLOOKUP($D571,'3. 요건기술서 전체'!$B:$L,11,0)="X", "외부X", "")),"")),"")</f>
        <v/>
      </c>
      <c r="H571" s="37" t="s">
        <v>418</v>
      </c>
    </row>
    <row r="572" spans="2:8" x14ac:dyDescent="0.3">
      <c r="B572" s="94" t="s">
        <v>43</v>
      </c>
      <c r="C572" s="95"/>
      <c r="D572" s="85" t="str">
        <f>VLOOKUP($D571,'3. 요건기술서 전체'!$B:$L,5,0)</f>
        <v>공통기능 - 매뉴얼관리</v>
      </c>
      <c r="E572" s="86"/>
      <c r="F572" s="87"/>
      <c r="H572" s="37" t="s">
        <v>848</v>
      </c>
    </row>
    <row r="573" spans="2:8" x14ac:dyDescent="0.3">
      <c r="B573" s="98" t="s">
        <v>44</v>
      </c>
      <c r="C573" s="43" t="s">
        <v>45</v>
      </c>
      <c r="D573" s="85" t="str">
        <f>VLOOKUP($D571,'3. 요건기술서 전체'!$B:$L,7,0)</f>
        <v>매뉴얼 및 사용자 세부 매뉴얼에 관한 사항</v>
      </c>
      <c r="E573" s="86"/>
      <c r="F573" s="87"/>
      <c r="H573" s="37" t="s">
        <v>576</v>
      </c>
    </row>
    <row r="574" spans="2:8" ht="51" x14ac:dyDescent="0.3">
      <c r="B574" s="98"/>
      <c r="C574" s="43" t="s">
        <v>46</v>
      </c>
      <c r="D574" s="85" t="str">
        <f>VLOOKUP($D571,'3. 요건기술서 전체'!$B:$L,8,0)</f>
        <v>○ 사용자를 위한 내/외부 시스템별 매뉴얼이 작성되어야 한다.(동영상포함)
○ 시스템 메뉴별 세부 업무정보를 확인할 수 있는 매뉴얼 바로 확인 기능이 구현되어야 한다.
  - 매뉴얼 선택 시 업무 추진 시 검토 필요한 주요 착안 사항이 보여진다.
  - 시스템 기능, 규정 등 검토해야 할 사항이 반영되어야 한다.</v>
      </c>
      <c r="E574" s="86"/>
      <c r="F574" s="87"/>
      <c r="H574" s="37" t="s">
        <v>772</v>
      </c>
    </row>
    <row r="575" spans="2:8" x14ac:dyDescent="0.3">
      <c r="B575" s="90" t="s">
        <v>871</v>
      </c>
      <c r="C575" s="91"/>
      <c r="D575" s="88" t="str">
        <f>VLOOKUP(D571, '3. 요건기술서 전체'!$B:$L, 9, 0)</f>
        <v>매뉴얼(사용자/운영자)</v>
      </c>
      <c r="E575" s="88"/>
      <c r="F575" s="89"/>
      <c r="H575" s="44" t="s">
        <v>872</v>
      </c>
    </row>
    <row r="576" spans="2:8" ht="15.75" thickBot="1" x14ac:dyDescent="0.35">
      <c r="B576" s="92" t="s">
        <v>47</v>
      </c>
      <c r="C576" s="93"/>
      <c r="D576" s="99">
        <f>VLOOKUP($D571,'3. 요건기술서 전체'!$B:$L,2,0)</f>
        <v>0</v>
      </c>
      <c r="E576" s="100"/>
      <c r="F576" s="101"/>
      <c r="H576" s="36">
        <v>0</v>
      </c>
    </row>
    <row r="577" spans="2:8" ht="15.75" thickBot="1" x14ac:dyDescent="0.35">
      <c r="H577" s="36"/>
    </row>
    <row r="578" spans="2:8" x14ac:dyDescent="0.3">
      <c r="B578" s="96" t="s">
        <v>41</v>
      </c>
      <c r="C578" s="97"/>
      <c r="D578" s="30" t="s">
        <v>53</v>
      </c>
      <c r="E578" s="31" t="s">
        <v>131</v>
      </c>
      <c r="F578" s="32" t="str">
        <f>VLOOKUP($D579,'3. 요건기술서 전체'!$B:$L,6,0)</f>
        <v>필수</v>
      </c>
      <c r="H578" s="37" t="s">
        <v>689</v>
      </c>
    </row>
    <row r="579" spans="2:8" x14ac:dyDescent="0.3">
      <c r="B579" s="94" t="s">
        <v>42</v>
      </c>
      <c r="C579" s="95"/>
      <c r="D579" s="33" t="str">
        <f>LEFT(D571,3)&amp;"-"&amp;TEXT(VALUE(RIGHT(D571,3))+1,"000")</f>
        <v>SFR-072</v>
      </c>
      <c r="E579" s="34" t="s">
        <v>85</v>
      </c>
      <c r="F579" s="35" t="str">
        <f>IFERROR(TRIM(IF(VLOOKUP($D579,'3. 요건기술서 전체'!$B:$L,10,0)&lt;&gt;"",IF(VLOOKUP($D579,'3. 요건기술서 전체'!$B:$L,10,0)="O", "한난O", IF(VLOOKUP($D579,'3. 요건기술서 전체'!$B:$L,10,0)="X", "한난X", "")),"") &amp; " " &amp;IF(VLOOKUP($D579,'3. 요건기술서 전체'!$B:$L,11,0)&lt;&gt;"",IF(VLOOKUP($D579,'3. 요건기술서 전체'!$B:$L,11,0)="O", "외부O", IF(VLOOKUP($D579,'3. 요건기술서 전체'!$B:$L,11,0)="X", "외부X", "")),"")),"")</f>
        <v/>
      </c>
      <c r="H579" s="37" t="s">
        <v>728</v>
      </c>
    </row>
    <row r="580" spans="2:8" x14ac:dyDescent="0.3">
      <c r="B580" s="94" t="s">
        <v>43</v>
      </c>
      <c r="C580" s="95"/>
      <c r="D580" s="85" t="str">
        <f>VLOOKUP($D579,'3. 요건기술서 전체'!$B:$L,5,0)</f>
        <v>시스템 성과측정 및 로그 개발</v>
      </c>
      <c r="E580" s="86"/>
      <c r="F580" s="87"/>
      <c r="H580" s="37" t="s">
        <v>729</v>
      </c>
    </row>
    <row r="581" spans="2:8" x14ac:dyDescent="0.3">
      <c r="B581" s="98" t="s">
        <v>44</v>
      </c>
      <c r="C581" s="43" t="s">
        <v>45</v>
      </c>
      <c r="D581" s="85" t="str">
        <f>VLOOKUP($D579,'3. 요건기술서 전체'!$B:$L,7,0)</f>
        <v>시스템의 목표 달성 여부를 객관적으로 측정하기 위해 성과지표를 수립</v>
      </c>
      <c r="E581" s="86"/>
      <c r="F581" s="87"/>
      <c r="H581" s="37" t="s">
        <v>743</v>
      </c>
    </row>
    <row r="582" spans="2:8" ht="102" x14ac:dyDescent="0.3">
      <c r="B582" s="98"/>
      <c r="C582" s="43" t="s">
        <v>46</v>
      </c>
      <c r="D582" s="85" t="str">
        <f>VLOOKUP($D579,'3. 요건기술서 전체'!$B:$L,8,0)</f>
        <v>○ 성과관리 지침 준수
 -  '전자정부 성과관리 지침' 및 관련 매뉴얼에서 제시하는 성과측정 방법론을 준수하여 사업을 수행해야 함. 
○ 성과측정 계획 수립
 - 사업 착수 단계에서 성과달성 지표 설계 내역이 포함된 '시스템 성과측정 계획서(안)'를 제출하여 발주기관의 승인을 받아야 함. 
 - 성과지표는 기능별로 구체화되어야 하며, 측정 가능한 정량적 지표를 우선적으로 반영함. 
○ 성과측정 로그 설계 및 개발
 - 기능점수(FP) 및 단위 기능별 성과측정이 가능하도록 시스템 내 로그 생성 기능을 설계 및 개발 역무에 포함해야 함. 
 - 생성된 로그는 사용자의 이용 행태, 시스템 처리 효율성 등 성과지표 측정의 기초 자료로 활용될 수 있어야 함.</v>
      </c>
      <c r="E582" s="86"/>
      <c r="F582" s="87"/>
      <c r="H582" s="44" t="s">
        <v>742</v>
      </c>
    </row>
    <row r="583" spans="2:8" x14ac:dyDescent="0.3">
      <c r="B583" s="90" t="s">
        <v>871</v>
      </c>
      <c r="C583" s="91"/>
      <c r="D583" s="88" t="str">
        <f>VLOOKUP(D579, '3. 요건기술서 전체'!$B:$L, 9, 0)</f>
        <v>시스템 성과측정 계획서(안)</v>
      </c>
      <c r="E583" s="88"/>
      <c r="F583" s="89"/>
      <c r="H583" s="36" t="s">
        <v>873</v>
      </c>
    </row>
    <row r="584" spans="2:8" ht="15.75" thickBot="1" x14ac:dyDescent="0.35">
      <c r="B584" s="92" t="s">
        <v>47</v>
      </c>
      <c r="C584" s="93"/>
      <c r="D584" s="99">
        <f>VLOOKUP($D579,'3. 요건기술서 전체'!$B:$L,2,0)</f>
        <v>0</v>
      </c>
      <c r="E584" s="100"/>
      <c r="F584" s="101"/>
      <c r="H584" s="36">
        <v>0</v>
      </c>
    </row>
    <row r="585" spans="2:8" ht="15.75" thickBot="1" x14ac:dyDescent="0.35">
      <c r="H585" s="37"/>
    </row>
    <row r="586" spans="2:8" x14ac:dyDescent="0.3">
      <c r="B586" s="96" t="s">
        <v>41</v>
      </c>
      <c r="C586" s="97"/>
      <c r="D586" s="42" t="s">
        <v>143</v>
      </c>
      <c r="E586" s="31" t="s">
        <v>131</v>
      </c>
      <c r="F586" s="32" t="str">
        <f>VLOOKUP($D587,'3. 요건기술서 전체'!$B:$L,6,0)</f>
        <v>필수</v>
      </c>
      <c r="H586" s="37" t="s">
        <v>691</v>
      </c>
    </row>
    <row r="587" spans="2:8" x14ac:dyDescent="0.3">
      <c r="B587" s="94" t="s">
        <v>42</v>
      </c>
      <c r="C587" s="95"/>
      <c r="D587" s="33" t="s">
        <v>419</v>
      </c>
      <c r="E587" s="34" t="s">
        <v>85</v>
      </c>
      <c r="F587" s="35" t="str">
        <f>IFERROR(TRIM(IF(VLOOKUP($D587,'3. 요건기술서 전체'!$B:$L,10,0)&lt;&gt;"",IF(VLOOKUP($D587,'3. 요건기술서 전체'!$B:$L,10,0)="O", "한난O", IF(VLOOKUP($D587,'3. 요건기술서 전체'!$B:$L,10,0)="X", "한난X", "")),"") &amp; " " &amp;IF(VLOOKUP($D587,'3. 요건기술서 전체'!$B:$L,11,0)&lt;&gt;"",IF(VLOOKUP($D587,'3. 요건기술서 전체'!$B:$L,11,0)="O", "외부O", IF(VLOOKUP($D587,'3. 요건기술서 전체'!$B:$L,11,0)="X", "외부X", "")),"")),"")</f>
        <v/>
      </c>
      <c r="H587" s="37" t="s">
        <v>419</v>
      </c>
    </row>
    <row r="588" spans="2:8" x14ac:dyDescent="0.3">
      <c r="B588" s="94" t="s">
        <v>43</v>
      </c>
      <c r="C588" s="95"/>
      <c r="D588" s="85" t="str">
        <f>VLOOKUP($D587,'3. 요건기술서 전체'!$B:$L,5,0)</f>
        <v>공통기능 -외부 접근 제한</v>
      </c>
      <c r="E588" s="86"/>
      <c r="F588" s="87"/>
      <c r="H588" s="37" t="s">
        <v>849</v>
      </c>
    </row>
    <row r="589" spans="2:8" x14ac:dyDescent="0.3">
      <c r="B589" s="98" t="s">
        <v>44</v>
      </c>
      <c r="C589" s="43" t="s">
        <v>45</v>
      </c>
      <c r="D589" s="85" t="str">
        <f>VLOOKUP($D587,'3. 요건기술서 전체'!$B:$L,7,0)</f>
        <v>외부 접근 제한</v>
      </c>
      <c r="E589" s="86"/>
      <c r="F589" s="87"/>
      <c r="H589" s="44" t="s">
        <v>577</v>
      </c>
    </row>
    <row r="590" spans="2:8" ht="178.5" x14ac:dyDescent="0.3">
      <c r="B590" s="98"/>
      <c r="C590" s="43" t="s">
        <v>46</v>
      </c>
      <c r="D590" s="85" t="str">
        <f>VLOOKUP($D587,'3. 요건기술서 전체'!$B:$L,8,0)</f>
        <v>○ 외부 접근 제한
 - 외부 접근 시, 권한에 따라 메뉴/정보조회 등의 기능 제한 관리 기능
 - 외부 접근은 PC 환경과 모바일 앱(이하, 모바일)에서 가능하며, 우리 공사 보안 규정(OTP / MDM 등) 준수
 - 우리 공사 직원의 외부 접근(PC/모바일)은 OTP 로 로그인 처리
 - 협력사 직원의 외부 접근(PC/모바일)은 시스템에서 1일 접근 코드를 생성 후 휴대폰 문자로 전송
 - 협력사별 대표 계정을 관리하고, 대표 계정으로 협력사의 사용자 계정 관리
○ 사용자 권한 설정 제시
 - 시스템에 보관되어 있는 각종 데이터와 사용자 인증정보의 올바른 보관과 활용을 위해 자료의 검색 및 조회에 대한 접근 권한을 규정하여 관리할 수 있어야 함
 - 사용자(내·외부)를 분류하여 등급 및 역할에 따라 정보 공개 및 접속 권한 여부를 설정하도록 함
 - 보관되어 있는 각종 데이터와 사용자 인증정보의 올바른 보관과 활용을 위해 자료의 검색 및 조회에 대한 접근 권한을 규정하여 관리되어야 함
○ 사용자 접근제어
 - 업무기능별로 사용자 권한부여가 가능하도록 개발되어야 함
 - 사용자 권한에 따른 데이터 접근범위 제한(권한관리)하여야 함</v>
      </c>
      <c r="E590" s="86"/>
      <c r="F590" s="87"/>
      <c r="H590" s="36" t="s">
        <v>1079</v>
      </c>
    </row>
    <row r="591" spans="2:8" x14ac:dyDescent="0.3">
      <c r="B591" s="90" t="s">
        <v>871</v>
      </c>
      <c r="C591" s="91"/>
      <c r="D591" s="88">
        <f>VLOOKUP(D587, '3. 요건기술서 전체'!$B:$L, 9, 0)</f>
        <v>0</v>
      </c>
      <c r="E591" s="88"/>
      <c r="F591" s="89"/>
      <c r="H591" s="36">
        <v>0</v>
      </c>
    </row>
    <row r="592" spans="2:8" ht="15.75" thickBot="1" x14ac:dyDescent="0.35">
      <c r="B592" s="92" t="s">
        <v>47</v>
      </c>
      <c r="C592" s="93"/>
      <c r="D592" s="99">
        <f>VLOOKUP($D587,'3. 요건기술서 전체'!$B:$L,2,0)</f>
        <v>0</v>
      </c>
      <c r="E592" s="100"/>
      <c r="F592" s="101"/>
      <c r="H592" s="37">
        <v>0</v>
      </c>
    </row>
    <row r="593" spans="2:8" ht="15.75" thickBot="1" x14ac:dyDescent="0.35">
      <c r="H593" s="37"/>
    </row>
    <row r="594" spans="2:8" x14ac:dyDescent="0.3">
      <c r="B594" s="96" t="s">
        <v>41</v>
      </c>
      <c r="C594" s="97"/>
      <c r="D594" s="30" t="str">
        <f>D586</f>
        <v>보안 요구사항</v>
      </c>
      <c r="E594" s="31" t="s">
        <v>131</v>
      </c>
      <c r="F594" s="32" t="str">
        <f>VLOOKUP($D595,'3. 요건기술서 전체'!$B:$L,6,0)</f>
        <v>필수</v>
      </c>
      <c r="H594" s="37" t="s">
        <v>691</v>
      </c>
    </row>
    <row r="595" spans="2:8" x14ac:dyDescent="0.3">
      <c r="B595" s="94" t="s">
        <v>42</v>
      </c>
      <c r="C595" s="95"/>
      <c r="D595" s="33" t="str">
        <f>LEFT(D587,3)&amp;"-"&amp;TEXT(VALUE(RIGHT(D587,3))+1,"000")</f>
        <v>SER-002</v>
      </c>
      <c r="E595" s="34" t="s">
        <v>85</v>
      </c>
      <c r="F595" s="35" t="str">
        <f>IFERROR(TRIM(IF(VLOOKUP($D595,'3. 요건기술서 전체'!$B:$L,10,0)&lt;&gt;"",IF(VLOOKUP($D595,'3. 요건기술서 전체'!$B:$L,10,0)="O", "한난O", IF(VLOOKUP($D595,'3. 요건기술서 전체'!$B:$L,10,0)="X", "한난X", "")),"") &amp; " " &amp;IF(VLOOKUP($D595,'3. 요건기술서 전체'!$B:$L,11,0)&lt;&gt;"",IF(VLOOKUP($D595,'3. 요건기술서 전체'!$B:$L,11,0)="O", "외부O", IF(VLOOKUP($D595,'3. 요건기술서 전체'!$B:$L,11,0)="X", "외부X", "")),"")),"")</f>
        <v/>
      </c>
      <c r="H595" s="37" t="s">
        <v>420</v>
      </c>
    </row>
    <row r="596" spans="2:8" x14ac:dyDescent="0.3">
      <c r="B596" s="94" t="s">
        <v>43</v>
      </c>
      <c r="C596" s="95"/>
      <c r="D596" s="85" t="str">
        <f>VLOOKUP($D595,'3. 요건기술서 전체'!$B:$L,5,0)</f>
        <v>정보누출금지</v>
      </c>
      <c r="E596" s="86"/>
      <c r="F596" s="87"/>
      <c r="H596" s="44" t="s">
        <v>421</v>
      </c>
    </row>
    <row r="597" spans="2:8" x14ac:dyDescent="0.3">
      <c r="B597" s="98" t="s">
        <v>44</v>
      </c>
      <c r="C597" s="43" t="s">
        <v>45</v>
      </c>
      <c r="D597" s="85" t="str">
        <f>VLOOKUP($D595,'3. 요건기술서 전체'!$B:$L,7,0)</f>
        <v>정보누출금지 사항</v>
      </c>
      <c r="E597" s="86"/>
      <c r="F597" s="87"/>
      <c r="H597" s="36" t="s">
        <v>578</v>
      </c>
    </row>
    <row r="598" spans="2:8" ht="267.75" x14ac:dyDescent="0.3">
      <c r="B598" s="98"/>
      <c r="C598" s="43" t="s">
        <v>46</v>
      </c>
      <c r="D598" s="85" t="str">
        <f>VLOOKUP($D595,'3. 요건기술서 전체'!$B:$L,8,0)</f>
        <v xml:space="preserve"> ○ 정보누출금지 
 - 사업수행기간 중 '국가정보보안 기본지침', 우리공사의 '정보보안규정' 등 정보보호 관련 법규 준수
 - 용역수행사(하도급사 포함)의 우리 공사 보안정책 위반 시, 위반처리 기준에 따라 위반자 및 관리자를 조치하고, 보안위약금 부과 기준에 따라 공사가 부과한 보안 위약금을 납부해야 함
 - 사업 수행에 사용되는 문서, 인원, 장비 등에 대한 물리적, 관리적, 기술적 보안대책 및 ‘누출금지 대상정보’에 대한 보안관리계획 사업수행계획서에 기재 
 - 정보 누출 시 공사는 국가계약법 시행령 제76조에 따라 사업자를 부정당업체로 등록처리 함
 - 사업 수행과정에서 취득한 자료와 정보에 대해 사업수행 중 및 사업 완료 후 외부 유출을 금지하고, 사업종료 시 정보보안담당자의 입회하에 완전 폐기 또는 반납함
 - 정보누출금지 대상 정보는 다음과 같음
 ○공사 소유 정보시스템의 내ㆍ외부 IP주소 현황
 ○세부 정보시스템 구성현황 및 정보통신망 구성도
 ○사용자계정ㆍ비밀번호 등 정보시스템 접근권한 정보
 ○정보통신망 취약점 분석·평가 결과물
 ○용역사업 결과물 및 프로그램 소스코드
 ○국가용 보안시스템 및 정보보호시스템 도입 현황
 ○침입차단시스템ㆍ방지시스템(IPS) 등 정보보호제품 및 라우터ㆍ스위치 등 네트워크 장비 설정 정보  
 ○「공공기관의 정보공개에 관한 법률」제9조제1항에 따라 비공개 대상 정보로 분류된 공사 내부문서
 ○「개인정보보호법」제2조제1호의 개인정보
 ○「보안업무규정」제4조의 비밀 및 동 시행규칙 제7조제3항의 대외비
 ○ 그 밖에 사장이 공개가 불가하다고 판단한 자료</v>
      </c>
      <c r="E598" s="86"/>
      <c r="F598" s="87"/>
      <c r="H598" s="36" t="s">
        <v>1080</v>
      </c>
    </row>
    <row r="599" spans="2:8" x14ac:dyDescent="0.3">
      <c r="B599" s="90" t="s">
        <v>871</v>
      </c>
      <c r="C599" s="91"/>
      <c r="D599" s="88">
        <f>VLOOKUP(D595, '3. 요건기술서 전체'!$B:$L, 9, 0)</f>
        <v>0</v>
      </c>
      <c r="E599" s="88"/>
      <c r="F599" s="89"/>
      <c r="H599" s="37">
        <v>0</v>
      </c>
    </row>
    <row r="600" spans="2:8" ht="15.75" thickBot="1" x14ac:dyDescent="0.35">
      <c r="B600" s="92" t="s">
        <v>47</v>
      </c>
      <c r="C600" s="93"/>
      <c r="D600" s="99">
        <f>VLOOKUP($D595,'3. 요건기술서 전체'!$B:$L,2,0)</f>
        <v>0</v>
      </c>
      <c r="E600" s="100"/>
      <c r="F600" s="101"/>
      <c r="H600" s="37">
        <v>0</v>
      </c>
    </row>
    <row r="601" spans="2:8" ht="15.75" thickBot="1" x14ac:dyDescent="0.35">
      <c r="H601" s="37"/>
    </row>
    <row r="602" spans="2:8" x14ac:dyDescent="0.3">
      <c r="B602" s="96" t="s">
        <v>41</v>
      </c>
      <c r="C602" s="97"/>
      <c r="D602" s="30" t="str">
        <f>D594</f>
        <v>보안 요구사항</v>
      </c>
      <c r="E602" s="31" t="s">
        <v>131</v>
      </c>
      <c r="F602" s="32" t="str">
        <f>VLOOKUP($D603,'3. 요건기술서 전체'!$B:$L,6,0)</f>
        <v>필수</v>
      </c>
      <c r="H602" s="37" t="s">
        <v>691</v>
      </c>
    </row>
    <row r="603" spans="2:8" x14ac:dyDescent="0.3">
      <c r="B603" s="94" t="s">
        <v>42</v>
      </c>
      <c r="C603" s="95"/>
      <c r="D603" s="33" t="str">
        <f>LEFT(D595,3)&amp;"-"&amp;TEXT(VALUE(RIGHT(D595,3))+1,"000")</f>
        <v>SER-003</v>
      </c>
      <c r="E603" s="34" t="s">
        <v>85</v>
      </c>
      <c r="F603" s="35" t="str">
        <f>IFERROR(TRIM(IF(VLOOKUP($D603,'3. 요건기술서 전체'!$B:$L,10,0)&lt;&gt;"",IF(VLOOKUP($D603,'3. 요건기술서 전체'!$B:$L,10,0)="O", "한난O", IF(VLOOKUP($D603,'3. 요건기술서 전체'!$B:$L,10,0)="X", "한난X", "")),"") &amp; " " &amp;IF(VLOOKUP($D603,'3. 요건기술서 전체'!$B:$L,11,0)&lt;&gt;"",IF(VLOOKUP($D603,'3. 요건기술서 전체'!$B:$L,11,0)="O", "외부O", IF(VLOOKUP($D603,'3. 요건기술서 전체'!$B:$L,11,0)="X", "외부X", "")),"")),"")</f>
        <v/>
      </c>
      <c r="H603" s="44" t="s">
        <v>422</v>
      </c>
    </row>
    <row r="604" spans="2:8" x14ac:dyDescent="0.3">
      <c r="B604" s="94" t="s">
        <v>43</v>
      </c>
      <c r="C604" s="95"/>
      <c r="D604" s="85" t="str">
        <f>VLOOKUP($D603,'3. 요건기술서 전체'!$B:$L,5,0)</f>
        <v>보안위규 처리 기준</v>
      </c>
      <c r="E604" s="86"/>
      <c r="F604" s="87"/>
      <c r="H604" s="36" t="s">
        <v>423</v>
      </c>
    </row>
    <row r="605" spans="2:8" x14ac:dyDescent="0.3">
      <c r="B605" s="98" t="s">
        <v>44</v>
      </c>
      <c r="C605" s="43" t="s">
        <v>45</v>
      </c>
      <c r="D605" s="85" t="str">
        <f>VLOOKUP($D603,'3. 요건기술서 전체'!$B:$L,7,0)</f>
        <v>보안위규 처리기준에 관한 사항</v>
      </c>
      <c r="E605" s="86"/>
      <c r="F605" s="87"/>
      <c r="H605" s="36" t="s">
        <v>579</v>
      </c>
    </row>
    <row r="606" spans="2:8" ht="318.75" x14ac:dyDescent="0.3">
      <c r="B606" s="98"/>
      <c r="C606" s="43" t="s">
        <v>46</v>
      </c>
      <c r="D606" s="85" t="str">
        <f>VLOOKUP($D603,'3. 요건기술서 전체'!$B:$L,8,0)</f>
        <v>○ 보안위규 사항 - 심각 (처리기준 : 사업참여 제한, 위규자 중징계, 재발방지 조치계획 제출, 위규자 대상 특별보안교육 실시)
 - 비밀 및 대외비 급 정보 유출 및 유출 시도 : 정보시스템에 대한 구조, 데이터베이스 등의 정보 유출 / 개인정보 및 신상정보 목록 유출 / 비공개 항공사진 및 공간정보 등 비공개 정보 유출
 - 정보시스템에 대한 불법적 행위 : 관련 시스템에 대한 해킹 및 해킹 시도 / 시스템 구축 결과물에 대한 외부 유출 / 시스템 내 인위적인 악성코드 유포
○ 보안위규 사항 - 중대 (처리기준 : 위규자 중징계, 재발방지 조치계획 제출, 위규자 대상 특별보안교육 실시)
 - 비공개 정보 관리 소홀 : 비공개 정보를 책상 위 등에 방치 / 비공개 정보를 휴지통ㆍ폐지함 등에 유기 또는 이면지 활용 / 개인정보ㆍ신상정보 목록을 책상 위 등에 방치 / 기타 비공개 정보에 대한 관리소홀
 - 사무실ㆍ보호구역 보안관리 허술 : 통제구역 출입문을 개방한 채 퇴근 등 / 인가되지 않은 작업자의 내부 시스템 접근 / 통제구역 내 장비·시설 등 무단 사진촬영
 - 전산정보 보호대책 부실 : 업무망 인터넷망 혼용사용, 보안 USB 사용규정 위반 / 웹하드·P2P 등 인터넷 자료공유사이트를 활용하여 용역사업 관련 자료 수발신 / 개발·유지관리 시 원격작업 사용 / 저장된 비공개 정보 패스워드 미부여 / 인터넷망 연결 PC 하드디스크에 비공개 정보를 저장 외부용 PC를 업무망에 무단 연결 사용 / 보안관련 프로그램 강제 삭제 / 사용자 계정관리 미흡 및 오남용(시스템 불법접근 시도 등)
○ 보안위규 사항 - 보통 (처리기준 : 위규자 중징계, 위규자 사유서ㆍ경위서 징구, 위규자 대상 특별보안교육 실시)
 - 공사 제공 중요정책ㆍ민감 자료 관리 소홀: 주요 현안ㆍ보고자료를 책상위 등에 방치 / 정책ㆍ현안자료를 휴지통ㆍ폐지함 등에 유기 또는 이면지 활용 
 - 사무실 보안관리 부실 : 캐비넷ㆍ서류함ㆍ책상 등을 개방한 채 퇴근 / 출입키를 책상위 등에 방치
 - 보호구역 관리 소홀  : 통제ㆍ제한구역 출입문을 개방한 채 근무 / 보호구역내 비인가자 출입허용 등 통제 미실시
 - 전산정보 보호대책 부실 : 휴대용저장매체를 서랍ㆍ책상 위 등에 방치한 채 퇴근 / 네이트온 등 비인가 메신저 무단 사용 / PC를 켜 놓거나 보조기억 매체(CD, USB 등)를 꽂아 놓고 퇴근 / 부팅ㆍ화면보호 패스워드 미부여 또는 "1111" 등 단순숫자 부여 / PC 비밀번호를 모니터 옆 등 외부에 노출 / 비인가 보조기억매체 무단 사용
○ 보안위규 사항 - 경미 (처리기준 : 위규자 서면ㆍ구두 경고 등 문책, 위규자 사유서ㆍ경위서 징구)
 - 업무 관련서류 관리 소홀 : 진행중인 업무자료를 책상 등에 방치, 퇴근 / 복사기ㆍ인쇄기 위에 서류 방치
 - 근무자 근무상태 불량 : 각종 보안장비 운용 미숙 / 경보ㆍ보안장치 작동 불량 
 - 전산정보 보호대책 부실 : PC내 보안성이 검증되지 않은 프로그램 사용 / 보안관련 소프트웨어의 주기적 점검 위반</v>
      </c>
      <c r="E606" s="86"/>
      <c r="F606" s="87"/>
      <c r="H606" s="37" t="s">
        <v>1081</v>
      </c>
    </row>
    <row r="607" spans="2:8" x14ac:dyDescent="0.3">
      <c r="B607" s="90" t="s">
        <v>871</v>
      </c>
      <c r="C607" s="91"/>
      <c r="D607" s="88">
        <f>VLOOKUP(D603, '3. 요건기술서 전체'!$B:$L, 9, 0)</f>
        <v>0</v>
      </c>
      <c r="E607" s="88"/>
      <c r="F607" s="89"/>
      <c r="H607" s="37">
        <v>0</v>
      </c>
    </row>
    <row r="608" spans="2:8" ht="15.75" thickBot="1" x14ac:dyDescent="0.35">
      <c r="B608" s="92" t="s">
        <v>47</v>
      </c>
      <c r="C608" s="93"/>
      <c r="D608" s="99">
        <f>VLOOKUP($D603,'3. 요건기술서 전체'!$B:$L,2,0)</f>
        <v>0</v>
      </c>
      <c r="E608" s="100"/>
      <c r="F608" s="101"/>
      <c r="H608" s="37">
        <v>0</v>
      </c>
    </row>
    <row r="609" spans="2:8" ht="15.75" thickBot="1" x14ac:dyDescent="0.35">
      <c r="H609" s="37"/>
    </row>
    <row r="610" spans="2:8" x14ac:dyDescent="0.3">
      <c r="B610" s="96" t="s">
        <v>41</v>
      </c>
      <c r="C610" s="97"/>
      <c r="D610" s="30" t="str">
        <f>D602</f>
        <v>보안 요구사항</v>
      </c>
      <c r="E610" s="31" t="s">
        <v>131</v>
      </c>
      <c r="F610" s="32" t="str">
        <f>VLOOKUP($D611,'3. 요건기술서 전체'!$B:$L,6,0)</f>
        <v>필수</v>
      </c>
      <c r="H610" s="37" t="s">
        <v>691</v>
      </c>
    </row>
    <row r="611" spans="2:8" x14ac:dyDescent="0.3">
      <c r="B611" s="94" t="s">
        <v>42</v>
      </c>
      <c r="C611" s="95"/>
      <c r="D611" s="33" t="str">
        <f>LEFT(D603,3)&amp;"-"&amp;TEXT(VALUE(RIGHT(D603,3))+1,"000")</f>
        <v>SER-004</v>
      </c>
      <c r="E611" s="34" t="s">
        <v>85</v>
      </c>
      <c r="F611" s="35" t="str">
        <f>IFERROR(TRIM(IF(VLOOKUP($D611,'3. 요건기술서 전체'!$B:$L,10,0)&lt;&gt;"",IF(VLOOKUP($D611,'3. 요건기술서 전체'!$B:$L,10,0)="O", "한난O", IF(VLOOKUP($D611,'3. 요건기술서 전체'!$B:$L,10,0)="X", "한난X", "")),"") &amp; " " &amp;IF(VLOOKUP($D611,'3. 요건기술서 전체'!$B:$L,11,0)&lt;&gt;"",IF(VLOOKUP($D611,'3. 요건기술서 전체'!$B:$L,11,0)="O", "외부O", IF(VLOOKUP($D611,'3. 요건기술서 전체'!$B:$L,11,0)="X", "외부X", "")),"")),"")</f>
        <v/>
      </c>
      <c r="H611" s="44" t="s">
        <v>424</v>
      </c>
    </row>
    <row r="612" spans="2:8" x14ac:dyDescent="0.3">
      <c r="B612" s="94" t="s">
        <v>43</v>
      </c>
      <c r="C612" s="95"/>
      <c r="D612" s="85" t="str">
        <f>VLOOKUP($D611,'3. 요건기술서 전체'!$B:$L,5,0)</f>
        <v>보안위약금 부과 기준</v>
      </c>
      <c r="E612" s="86"/>
      <c r="F612" s="87"/>
      <c r="H612" s="36" t="s">
        <v>425</v>
      </c>
    </row>
    <row r="613" spans="2:8" x14ac:dyDescent="0.3">
      <c r="B613" s="98" t="s">
        <v>44</v>
      </c>
      <c r="C613" s="43" t="s">
        <v>45</v>
      </c>
      <c r="D613" s="85" t="str">
        <f>VLOOKUP($D611,'3. 요건기술서 전체'!$B:$L,7,0)</f>
        <v>보안 위약금 부과 기준에 관한 사항</v>
      </c>
      <c r="E613" s="86"/>
      <c r="F613" s="87"/>
      <c r="H613" s="36" t="s">
        <v>580</v>
      </c>
    </row>
    <row r="614" spans="2:8" ht="76.5" x14ac:dyDescent="0.3">
      <c r="B614" s="98"/>
      <c r="C614" s="43" t="s">
        <v>46</v>
      </c>
      <c r="D614" s="85" t="str">
        <f>VLOOKUP($D611,'3. 요건기술서 전체'!$B:$L,8,0)</f>
        <v>○ 보안 위약금 부과 기준
 - 위규 수준별 A~D 등급 차등 부과
 - A급 : 심각 1건 (부정당업자 등록) / B급 : 중대 1건 (계약금의 10% 이하) / C급 : 보통 2건 이상 (계약금의 5% 이하) / D급 : 경미 3건 이상 ( 계약금의 2% 이하)
 - 보안 위약금에 대한 사항은 다른 요인에 의해 상쇄 및 삭감 할 수 없도록 부과 (타 항목과 별도 부과)
 - 사업 종료 시 지출금액 조정을 통해 위약금 정산</v>
      </c>
      <c r="E614" s="86"/>
      <c r="F614" s="87"/>
      <c r="H614" s="37" t="s">
        <v>1082</v>
      </c>
    </row>
    <row r="615" spans="2:8" x14ac:dyDescent="0.3">
      <c r="B615" s="90" t="s">
        <v>871</v>
      </c>
      <c r="C615" s="91"/>
      <c r="D615" s="88">
        <f>VLOOKUP(D611, '3. 요건기술서 전체'!$B:$L, 9, 0)</f>
        <v>0</v>
      </c>
      <c r="E615" s="88"/>
      <c r="F615" s="89"/>
      <c r="H615" s="37">
        <v>0</v>
      </c>
    </row>
    <row r="616" spans="2:8" ht="15.75" thickBot="1" x14ac:dyDescent="0.35">
      <c r="B616" s="92" t="s">
        <v>47</v>
      </c>
      <c r="C616" s="93"/>
      <c r="D616" s="99">
        <f>VLOOKUP($D611,'3. 요건기술서 전체'!$B:$L,2,0)</f>
        <v>0</v>
      </c>
      <c r="E616" s="100"/>
      <c r="F616" s="101"/>
      <c r="H616" s="37">
        <v>0</v>
      </c>
    </row>
    <row r="617" spans="2:8" ht="15.75" thickBot="1" x14ac:dyDescent="0.35">
      <c r="H617" s="37"/>
    </row>
    <row r="618" spans="2:8" x14ac:dyDescent="0.3">
      <c r="B618" s="96" t="s">
        <v>41</v>
      </c>
      <c r="C618" s="97"/>
      <c r="D618" s="30" t="str">
        <f>D610</f>
        <v>보안 요구사항</v>
      </c>
      <c r="E618" s="31" t="s">
        <v>131</v>
      </c>
      <c r="F618" s="32" t="str">
        <f>VLOOKUP($D619,'3. 요건기술서 전체'!$B:$L,6,0)</f>
        <v>필수</v>
      </c>
      <c r="H618" s="37" t="s">
        <v>691</v>
      </c>
    </row>
    <row r="619" spans="2:8" x14ac:dyDescent="0.3">
      <c r="B619" s="94" t="s">
        <v>42</v>
      </c>
      <c r="C619" s="95"/>
      <c r="D619" s="33" t="str">
        <f>LEFT(D611,3)&amp;"-"&amp;TEXT(VALUE(RIGHT(D611,3))+1,"000")</f>
        <v>SER-005</v>
      </c>
      <c r="E619" s="34" t="s">
        <v>85</v>
      </c>
      <c r="F619" s="35" t="str">
        <f>IFERROR(TRIM(IF(VLOOKUP($D619,'3. 요건기술서 전체'!$B:$L,10,0)&lt;&gt;"",IF(VLOOKUP($D619,'3. 요건기술서 전체'!$B:$L,10,0)="O", "한난O", IF(VLOOKUP($D619,'3. 요건기술서 전체'!$B:$L,10,0)="X", "한난X", "")),"") &amp; " " &amp;IF(VLOOKUP($D619,'3. 요건기술서 전체'!$B:$L,11,0)&lt;&gt;"",IF(VLOOKUP($D619,'3. 요건기술서 전체'!$B:$L,11,0)="O", "외부O", IF(VLOOKUP($D619,'3. 요건기술서 전체'!$B:$L,11,0)="X", "외부X", "")),"")),"")</f>
        <v/>
      </c>
      <c r="H619" s="44" t="s">
        <v>426</v>
      </c>
    </row>
    <row r="620" spans="2:8" x14ac:dyDescent="0.3">
      <c r="B620" s="94" t="s">
        <v>43</v>
      </c>
      <c r="C620" s="95"/>
      <c r="D620" s="85" t="str">
        <f>VLOOKUP($D619,'3. 요건기술서 전체'!$B:$L,5,0)</f>
        <v>보안 사항</v>
      </c>
      <c r="E620" s="86"/>
      <c r="F620" s="87"/>
      <c r="H620" s="36" t="s">
        <v>427</v>
      </c>
    </row>
    <row r="621" spans="2:8" x14ac:dyDescent="0.3">
      <c r="B621" s="98" t="s">
        <v>44</v>
      </c>
      <c r="C621" s="43" t="s">
        <v>45</v>
      </c>
      <c r="D621" s="85" t="str">
        <f>VLOOKUP($D619,'3. 요건기술서 전체'!$B:$L,7,0)</f>
        <v>용역 수행 시 보안에 관한 사항</v>
      </c>
      <c r="E621" s="86"/>
      <c r="F621" s="87"/>
      <c r="H621" s="36" t="s">
        <v>581</v>
      </c>
    </row>
    <row r="622" spans="2:8" ht="216.75" x14ac:dyDescent="0.3">
      <c r="B622" s="98"/>
      <c r="C622" s="43" t="s">
        <v>46</v>
      </c>
      <c r="D622" s="85" t="str">
        <f>VLOOKUP($D619,'3. 요건기술서 전체'!$B:$L,8,0)</f>
        <v>○ 보안사항
 - 정보누출금지 관련 「보안서약서」를 착수계 제출 시 포함하여 제출
 - 사업 착수 후, 용역수행사 대표 및 참여기술자는 즉시 정보누출금지 관련 보안교육을 받은 후 사업 수행
 - 참여기술자의 변경 등이 있는 경우, 보안서약서 제출 및 보안교육을 받은 후 참여
 - 과업수행계획서의 보안대책사항에는 비밀정보의 범위, 보안준수 사항, 자료의 반환 등의 내용이 포함되어야 함
 - 용역수행사가 하도급 계약을 체결할 경우 본 용역계약 수준의 비밀 유지하는 조항 포함
 - ‘누출금지 대상정보’를 공사에 요청할 경우, ‘자료관리 대장’에 인계자ㆍ인수자 서명 후 제공받고 용역완료시 관련 자료 반납
 - 관련자료 및 사업과정에서 생산된 산출물을 우리 공사의 파일 서버에 저장 또는 공사가 지정한 PC에 저장ㆍ관리해야 함
 - 용역 관련 자료는 인터넷 웹하드ㆍP2P 등 인터넷 자료공유 사이트 및 개인메일함에 저장을 금지함
 - 우리 공사와 용역수행사간 전자우편을 이용해 자료전송이 필요한 경우, 첨부자료 암호화 후 수발신(단, 대외비 이상의 비밀은 전자우편 수발신 금지)
 - 우리 공사가 제공한 사무실에서 용역을 수행할 경우, 제공한 비공개자료는 매일 퇴근시 반납하고, 일반문서는 제공된 사무실에 시건장치가 된 보관함이 있을 경우 이에 보관 가능
 - 본 용역사업 수행으로 생산되는 산출물 및 기록은 공사가 인가하지 않은 비인가자에게 제공ㆍ대여ㆍ열람 금지
 - 공사는 용역 업무를 수행하는 공간에 대한 정기적 보안점검 실시할 수 있음
 - 용역수행에 필요한 노트북 등 관련 장비 외부 반출입시마다 악성코드 감염여부 및 자료 무단반출 여부를 확인받아야 함
 - 인가받지 않은 USB 등의 휴대용 저장매체 사용 금지
 - 산출물 저장을 위해 휴대용 저장매체가 필요한 경우, 공사의 승인하에 사용 가능</v>
      </c>
      <c r="E622" s="86"/>
      <c r="F622" s="87"/>
      <c r="H622" s="37" t="s">
        <v>1083</v>
      </c>
    </row>
    <row r="623" spans="2:8" ht="51" x14ac:dyDescent="0.3">
      <c r="B623" s="90" t="s">
        <v>871</v>
      </c>
      <c r="C623" s="91"/>
      <c r="D623" s="88" t="str">
        <f>VLOOKUP(D619, '3. 요건기술서 전체'!$B:$L, 9, 0)</f>
        <v>보안서약서,
보안교육 결과보고서,
자료관리 대장,
반출입 관리대장</v>
      </c>
      <c r="E623" s="88"/>
      <c r="F623" s="89"/>
      <c r="H623" s="37" t="s">
        <v>874</v>
      </c>
    </row>
    <row r="624" spans="2:8" ht="15.75" thickBot="1" x14ac:dyDescent="0.35">
      <c r="B624" s="92" t="s">
        <v>47</v>
      </c>
      <c r="C624" s="93"/>
      <c r="D624" s="99">
        <f>VLOOKUP($D619,'3. 요건기술서 전체'!$B:$L,2,0)</f>
        <v>0</v>
      </c>
      <c r="E624" s="100"/>
      <c r="F624" s="101"/>
      <c r="H624" s="37">
        <v>0</v>
      </c>
    </row>
    <row r="625" spans="2:8" ht="15.75" thickBot="1" x14ac:dyDescent="0.35">
      <c r="H625" s="37"/>
    </row>
    <row r="626" spans="2:8" x14ac:dyDescent="0.3">
      <c r="B626" s="96" t="s">
        <v>41</v>
      </c>
      <c r="C626" s="97"/>
      <c r="D626" s="30" t="str">
        <f>D618</f>
        <v>보안 요구사항</v>
      </c>
      <c r="E626" s="31" t="s">
        <v>131</v>
      </c>
      <c r="F626" s="32" t="str">
        <f>VLOOKUP($D627,'3. 요건기술서 전체'!$B:$L,6,0)</f>
        <v>필수</v>
      </c>
      <c r="H626" s="37" t="s">
        <v>691</v>
      </c>
    </row>
    <row r="627" spans="2:8" x14ac:dyDescent="0.3">
      <c r="B627" s="94" t="s">
        <v>42</v>
      </c>
      <c r="C627" s="95"/>
      <c r="D627" s="33" t="str">
        <f>LEFT(D619,3)&amp;"-"&amp;TEXT(VALUE(RIGHT(D619,3))+1,"000")</f>
        <v>SER-006</v>
      </c>
      <c r="E627" s="34" t="s">
        <v>85</v>
      </c>
      <c r="F627" s="35" t="str">
        <f>IFERROR(TRIM(IF(VLOOKUP($D627,'3. 요건기술서 전체'!$B:$L,10,0)&lt;&gt;"",IF(VLOOKUP($D627,'3. 요건기술서 전체'!$B:$L,10,0)="O", "한난O", IF(VLOOKUP($D627,'3. 요건기술서 전체'!$B:$L,10,0)="X", "한난X", "")),"") &amp; " " &amp;IF(VLOOKUP($D627,'3. 요건기술서 전체'!$B:$L,11,0)&lt;&gt;"",IF(VLOOKUP($D627,'3. 요건기술서 전체'!$B:$L,11,0)="O", "외부O", IF(VLOOKUP($D627,'3. 요건기술서 전체'!$B:$L,11,0)="X", "외부X", "")),"")),"")</f>
        <v/>
      </c>
      <c r="H627" s="44" t="s">
        <v>428</v>
      </c>
    </row>
    <row r="628" spans="2:8" x14ac:dyDescent="0.3">
      <c r="B628" s="94" t="s">
        <v>43</v>
      </c>
      <c r="C628" s="95"/>
      <c r="D628" s="85" t="str">
        <f>VLOOKUP($D627,'3. 요건기술서 전체'!$B:$L,5,0)</f>
        <v>망 접근 관련 보안사항</v>
      </c>
      <c r="E628" s="86"/>
      <c r="F628" s="87"/>
      <c r="H628" s="36" t="s">
        <v>429</v>
      </c>
    </row>
    <row r="629" spans="2:8" x14ac:dyDescent="0.3">
      <c r="B629" s="98" t="s">
        <v>44</v>
      </c>
      <c r="C629" s="43" t="s">
        <v>45</v>
      </c>
      <c r="D629" s="85" t="str">
        <f>VLOOKUP($D627,'3. 요건기술서 전체'!$B:$L,7,0)</f>
        <v>망 접근 시 보안 관리</v>
      </c>
      <c r="E629" s="86"/>
      <c r="F629" s="87"/>
      <c r="H629" s="36" t="s">
        <v>582</v>
      </c>
    </row>
    <row r="630" spans="2:8" ht="357" x14ac:dyDescent="0.3">
      <c r="B630" s="98"/>
      <c r="C630" s="43" t="s">
        <v>46</v>
      </c>
      <c r="D630" s="85" t="str">
        <f>VLOOKUP($D627,'3. 요건기술서 전체'!$B:$L,8,0)</f>
        <v xml:space="preserve">
○ 망 접근 보안 관리
 - 용역수행사가 사용하는 전산장비는 사내 보안정책을 동일하게 적용함
 - 부팅 비밀번호, 윈도우 비밀번호, 화면보호기 비밀번호 등 비밀번호 9자리 이상 혼합 설정 및 분기별 1회 변경
 - 최신 백신프로그램 설치를 통한 주기적 검사 및 실시간 감시기능 사용
 - 사이버보안 진단의 날 “내PC지킴이” 실행을 통한 취약점 조치를 해야 함
 - 사내 상시 인력은 데스크탑을 사용하고, 용역 종료시까지 반출은 불허함
 - 용역수행사가 사용하는 PC는 인터넷 연결을 금지하되, 사업수행상 연결이 필요한 경우 공사의 보안통제하에 제한적으로 허용 가능
 - 본 용역사업을 수행하는 정보통신망에서는 P2P, 웹하드 등 인터넷 자료공유 사이트로의 접속 불가
○ 구간 암호화 개념 정의
 - 사용자 PC부터 웹서버구간 간 암호화방식을 적용하여 구현하여야 함
 - 정보시스템 로그인 시 정보통신망으로 전송되는 중요정보(아이디, 패스워드와 같은 로그인 정보 및 주민등록번호 등)에 대해 스니핑 등의 위협 으로부터 보호하기 위하여 SSL, TLS 등 네트워크 구간 암호화 조치 수행 하여야 함
○ 시스템 간 자료 교환 시 기밀성, 무결성, 접근제어 등을 보장하여야 함
 - 침입차단서버와 관리자PC 간 통신 시 구간 암호화, 무결성을 제공하고 관리자 IP를 등록하여 관리자PC에서만 서버에 접근 가능
 - 침입차단서버와 센서 간 통신 시 구간 암호화, 무결성을 제공
○ VPN 외부연동 보안 개념 정의
 - 외부망에서 업무시스템 접속시에는 VPN 방식 사용하므로 이를 고려하여 시스템을 구축하여야 함
○ VM 외부연동 보안 개념 정의
 - VM(장비 또는 소프트웨어)를 이용하여 외부망에서 업무시스템 접속 시에는 이를 고려하여 시스템을 구축하여야 함
○ 전송자료 암호화 개념 정의
 - 대외 연계서버와 대외기관 중계 서버 간에는 전송되는 자료는 서버용 전송자료 암호화를 적용하여 전송하여야 함
○ 서비스 이용자와 서버구간 정보 전송시 암호화 조건
 - 중요정보에 대해 스니핑 등의 위협으로부터 보호하기 위하여 SSL 등 네트워크 구간 암호화 조치를 수행하여야 함
○ 연계 데이터의 암호화
 - 관련 데이터 송수신 시 국가 표준 암호화알고리즘 등을 적용하여 데이터 암호화 및 복호화를 수행해야 함
○ 연동 보안 일반 개념 정의
 - 연계서버와 업무서버 영역 간에는 사전 정해진 데이터 형식만 전달 하도록 함</v>
      </c>
      <c r="E630" s="86"/>
      <c r="F630" s="87"/>
      <c r="H630" s="37" t="s">
        <v>1084</v>
      </c>
    </row>
    <row r="631" spans="2:8" x14ac:dyDescent="0.3">
      <c r="B631" s="90" t="s">
        <v>871</v>
      </c>
      <c r="C631" s="91"/>
      <c r="D631" s="88">
        <f>VLOOKUP(D627, '3. 요건기술서 전체'!$B:$L, 9, 0)</f>
        <v>0</v>
      </c>
      <c r="E631" s="88"/>
      <c r="F631" s="89"/>
      <c r="H631" s="37">
        <v>0</v>
      </c>
    </row>
    <row r="632" spans="2:8" ht="15.75" thickBot="1" x14ac:dyDescent="0.35">
      <c r="B632" s="92" t="s">
        <v>47</v>
      </c>
      <c r="C632" s="93"/>
      <c r="D632" s="99">
        <f>VLOOKUP($D627,'3. 요건기술서 전체'!$B:$L,2,0)</f>
        <v>0</v>
      </c>
      <c r="E632" s="100"/>
      <c r="F632" s="101"/>
      <c r="H632" s="37">
        <v>0</v>
      </c>
    </row>
    <row r="633" spans="2:8" ht="15.75" thickBot="1" x14ac:dyDescent="0.35">
      <c r="H633" s="37"/>
    </row>
    <row r="634" spans="2:8" x14ac:dyDescent="0.3">
      <c r="B634" s="96" t="s">
        <v>41</v>
      </c>
      <c r="C634" s="97"/>
      <c r="D634" s="30" t="str">
        <f>D626</f>
        <v>보안 요구사항</v>
      </c>
      <c r="E634" s="31" t="s">
        <v>131</v>
      </c>
      <c r="F634" s="32" t="str">
        <f>VLOOKUP($D635,'3. 요건기술서 전체'!$B:$L,6,0)</f>
        <v>필수</v>
      </c>
      <c r="H634" s="37" t="s">
        <v>691</v>
      </c>
    </row>
    <row r="635" spans="2:8" x14ac:dyDescent="0.3">
      <c r="B635" s="94" t="s">
        <v>42</v>
      </c>
      <c r="C635" s="95"/>
      <c r="D635" s="33" t="str">
        <f>LEFT(D627,3)&amp;"-"&amp;TEXT(VALUE(RIGHT(D627,3))+1,"000")</f>
        <v>SER-007</v>
      </c>
      <c r="E635" s="34" t="s">
        <v>85</v>
      </c>
      <c r="F635" s="35" t="str">
        <f>IFERROR(TRIM(IF(VLOOKUP($D635,'3. 요건기술서 전체'!$B:$L,10,0)&lt;&gt;"",IF(VLOOKUP($D635,'3. 요건기술서 전체'!$B:$L,10,0)="O", "한난O", IF(VLOOKUP($D635,'3. 요건기술서 전체'!$B:$L,10,0)="X", "한난X", "")),"") &amp; " " &amp;IF(VLOOKUP($D635,'3. 요건기술서 전체'!$B:$L,11,0)&lt;&gt;"",IF(VLOOKUP($D635,'3. 요건기술서 전체'!$B:$L,11,0)="O", "외부O", IF(VLOOKUP($D635,'3. 요건기술서 전체'!$B:$L,11,0)="X", "외부X", "")),"")),"")</f>
        <v/>
      </c>
      <c r="H635" s="44" t="s">
        <v>430</v>
      </c>
    </row>
    <row r="636" spans="2:8" x14ac:dyDescent="0.3">
      <c r="B636" s="94" t="s">
        <v>43</v>
      </c>
      <c r="C636" s="95"/>
      <c r="D636" s="85" t="str">
        <f>VLOOKUP($D635,'3. 요건기술서 전체'!$B:$L,5,0)</f>
        <v>사업 진행 단계별 보안 사항</v>
      </c>
      <c r="E636" s="86"/>
      <c r="F636" s="87"/>
      <c r="H636" s="36" t="s">
        <v>431</v>
      </c>
    </row>
    <row r="637" spans="2:8" x14ac:dyDescent="0.3">
      <c r="B637" s="98" t="s">
        <v>44</v>
      </c>
      <c r="C637" s="43" t="s">
        <v>45</v>
      </c>
      <c r="D637" s="85" t="str">
        <f>VLOOKUP($D635,'3. 요건기술서 전체'!$B:$L,7,0)</f>
        <v>사업 진행 단계별 보안 관련 관리해야 할 사항</v>
      </c>
      <c r="E637" s="86"/>
      <c r="F637" s="87"/>
      <c r="H637" s="36" t="s">
        <v>583</v>
      </c>
    </row>
    <row r="638" spans="2:8" ht="255" x14ac:dyDescent="0.3">
      <c r="B638" s="98"/>
      <c r="C638" s="43" t="s">
        <v>46</v>
      </c>
      <c r="D638" s="85" t="str">
        <f>VLOOKUP($D635,'3. 요건기술서 전체'!$B:$L,8,0)</f>
        <v>○ 사업 착수단계 보안 사항
 - 우리 공사의 각종 보안 관련 지침 확인
 - 각종 보안서약서 및 확약서 작성 및 제출
○ 사업 분석 단계 보안 사항
 - 보안 요구사항 식별 및 정보보호 정책 수립
○ 사업 수행 단계 보안 사항
 - 목표시스템 구축 시(프로그램 및 DB 등 전반적인 영역) 보안 적용 
 - 외부 인터페이스 식별 및 연계 시 보안 적용 
 - 개발환경 보안 및 보안 요건에 따른 테스트 절차 설계 및 수행 
 - 보안 표준/가이드 수립 및 교육 
 - 보안솔루션 적용방안 점검 
○ 사업 완료 단계 보안 사항
 - 사업 완료 후 생산되는 최종 산출물 중 대외보안이 요구되는 자료는 대외비 이상으로 작성ㆍ관리
 - 그 외 불필요한 자료는 삭제 및 폐기
 - 용역수행사에 제공한 자료, 장비, 서류와 중간ㆍ최종 산출물 등 용역과 관련된 제반 자료는 전량 회수 및 복사본 등 별도 보관 금지
 - 사업 완료 후 업체소유 PC서버. 노트북 등 전자기록 저장매체는 국가정보원장이 검증한 삭제 장비(공사 제공)로 완전 삭제 후 반출
 - 반입 장비중 SSD 등 저장매체의 경우 사업종료 후 완전 파괴 (반출 불가)
 - 용역사업 관련 자료 회수 및 삭제 조치 후, 복사본 등 용역사업 관련 자료 미보유에 대한 수행사 대표 명의의 확약서 징구
 - 용역수행사가 지식재산권 행사를 위해 필요한 SW산출물의 반출을 요청하는 경우, 비밀정보를 제외한 산출물을 공사가 별도 제공
 - 산출물은 보안규정 준수를 전제로 제공하며 타 기관 등으로 누출 금지</v>
      </c>
      <c r="E638" s="86"/>
      <c r="F638" s="87"/>
      <c r="H638" s="37" t="s">
        <v>1041</v>
      </c>
    </row>
    <row r="639" spans="2:8" x14ac:dyDescent="0.3">
      <c r="B639" s="90" t="s">
        <v>871</v>
      </c>
      <c r="C639" s="91"/>
      <c r="D639" s="88" t="str">
        <f>VLOOKUP(D635, '3. 요건기술서 전체'!$B:$L, 9, 0)</f>
        <v>보안확약서</v>
      </c>
      <c r="E639" s="88"/>
      <c r="F639" s="89"/>
      <c r="H639" s="37" t="s">
        <v>875</v>
      </c>
    </row>
    <row r="640" spans="2:8" ht="15.75" thickBot="1" x14ac:dyDescent="0.35">
      <c r="B640" s="92" t="s">
        <v>47</v>
      </c>
      <c r="C640" s="93"/>
      <c r="D640" s="99">
        <f>VLOOKUP($D635,'3. 요건기술서 전체'!$B:$L,2,0)</f>
        <v>0</v>
      </c>
      <c r="E640" s="100"/>
      <c r="F640" s="101"/>
      <c r="H640" s="37">
        <v>0</v>
      </c>
    </row>
    <row r="641" spans="2:8" ht="15.75" thickBot="1" x14ac:dyDescent="0.35">
      <c r="H641" s="37"/>
    </row>
    <row r="642" spans="2:8" x14ac:dyDescent="0.3">
      <c r="B642" s="96" t="s">
        <v>41</v>
      </c>
      <c r="C642" s="97"/>
      <c r="D642" s="30" t="str">
        <f>D634</f>
        <v>보안 요구사항</v>
      </c>
      <c r="E642" s="31" t="s">
        <v>131</v>
      </c>
      <c r="F642" s="32" t="str">
        <f>VLOOKUP($D643,'3. 요건기술서 전체'!$B:$L,6,0)</f>
        <v>필수</v>
      </c>
      <c r="H642" s="37" t="s">
        <v>691</v>
      </c>
    </row>
    <row r="643" spans="2:8" x14ac:dyDescent="0.3">
      <c r="B643" s="94" t="s">
        <v>42</v>
      </c>
      <c r="C643" s="95"/>
      <c r="D643" s="33" t="str">
        <f>LEFT(D635,3)&amp;"-"&amp;TEXT(VALUE(RIGHT(D635,3))+1,"000")</f>
        <v>SER-008</v>
      </c>
      <c r="E643" s="34" t="s">
        <v>85</v>
      </c>
      <c r="F643" s="35" t="str">
        <f>IFERROR(TRIM(IF(VLOOKUP($D643,'3. 요건기술서 전체'!$B:$L,10,0)&lt;&gt;"",IF(VLOOKUP($D643,'3. 요건기술서 전체'!$B:$L,10,0)="O", "한난O", IF(VLOOKUP($D643,'3. 요건기술서 전체'!$B:$L,10,0)="X", "한난X", "")),"") &amp; " " &amp;IF(VLOOKUP($D643,'3. 요건기술서 전체'!$B:$L,11,0)&lt;&gt;"",IF(VLOOKUP($D643,'3. 요건기술서 전체'!$B:$L,11,0)="O", "외부O", IF(VLOOKUP($D643,'3. 요건기술서 전체'!$B:$L,11,0)="X", "외부X", "")),"")),"")</f>
        <v/>
      </c>
      <c r="H643" s="44" t="s">
        <v>730</v>
      </c>
    </row>
    <row r="644" spans="2:8" x14ac:dyDescent="0.3">
      <c r="B644" s="94" t="s">
        <v>43</v>
      </c>
      <c r="C644" s="95"/>
      <c r="D644" s="85" t="str">
        <f>VLOOKUP($D643,'3. 요건기술서 전체'!$B:$L,5,0)</f>
        <v>로그인, 사용자 정보 관리</v>
      </c>
      <c r="E644" s="86"/>
      <c r="F644" s="87"/>
      <c r="H644" s="36" t="s">
        <v>731</v>
      </c>
    </row>
    <row r="645" spans="2:8" x14ac:dyDescent="0.3">
      <c r="B645" s="98" t="s">
        <v>44</v>
      </c>
      <c r="C645" s="43" t="s">
        <v>45</v>
      </c>
      <c r="D645" s="85" t="str">
        <f>VLOOKUP($D643,'3. 요건기술서 전체'!$B:$L,7,0)</f>
        <v>사용자 정보 관리, 계정 및 권한 관리</v>
      </c>
      <c r="E645" s="86"/>
      <c r="F645" s="87"/>
      <c r="H645" s="36" t="s">
        <v>744</v>
      </c>
    </row>
    <row r="646" spans="2:8" ht="331.5" x14ac:dyDescent="0.3">
      <c r="B646" s="98"/>
      <c r="C646" s="43" t="s">
        <v>46</v>
      </c>
      <c r="D646" s="85" t="str">
        <f>VLOOKUP($D643,'3. 요건기술서 전체'!$B:$L,8,0)</f>
        <v>○ 패스워드, 주민번호 등 각 기능에서 명시된 [중요 데이터]는 반드시 암호화하여 DB에 저장하고, 일반 사용자는 직접 DB 접근을 할 수 없음
○ 사용자 인증정보, 주민등록번호, 패스워드 등 보안이 요구되는 정보를 소스코드에 직접 하드코딩 하지 않아야 함
 - 장비 접속 시 사용자 인증을 수행해야 함
 - 비밀번호는 발주기관의 정책을 준수해야 함
○ 사용자계정 접근 관리 개념 정의 
  - 사용자를 등급 및 역할에 따라 분류하고 정보 공개 및 접속 여부 설정 가능
  - 센터/부서/권한별 그룹설정 등 사용자 계정 형태의 권한 관리 기능 필요 
  - 시스템 관리자 계정은 별도로 부여하며 인사이동 등으로 관리자가 변경될 경우 기존 관리자가 신규 관리자를 등록할 수 있도록 구현 
  - 외부사용자용 등록, 권한부여, 조회화면 기능 개발 
  - 보안 및 개인정보 보호를 위한 사용자 접근 및 정보 수정에 대한 로그 기록 및 확인 기능 필요 
  - 계약상대자는 정보시스템 사용자 계정 이용 시, 부여된 권한 이외 접근을 불허하며 부여된 패스워드는 임의 변경 및 타인에게 불허 
○ 클라이언트에 인증정보 및 세션정보를 저장하지 않는 것을 원칙으로 하고, 클라이언트에 저장할 경우 암호화 등 보호방안을 수립
○ SSO 인증 요구사항
 - 로그인 한번으로 전체 시스템을 사용할 수 있도록 통합인증 체계 구축
 - SSO는 ID/PW 및 PKI 인증을 지원
 - SSO는 권한관리시스템과 연계하여 사용자 권한설정을 지원
 - SSO는 내부 사용자 SSO와 외부 SSO를 구분하여 구축
 - 신규 SSO는 기존의 사용자 정보를 이용, 사용자에 대한 통합 인증 수행
 - 사용자 인증정보는 암호화 통신을 해야 하며 국제 표준 및 국가기관용 암호알고리즘을 지원
○ 정보시스템 로그인에 대한 보안조치 수행
 - 로그인 실패 횟수가 5회 이상시 접속을 제한
 - 다수가 동시에 동일한 사용자 계정으로 로그인하지 못하도록 동시 로그인 차단
○ 회원그룹 및 권한 여부에 따른 로그인 정책 및 인증방식 적용
 - 사용자를 분류하여 등급 및 역할에 따라 메뉴 및 기능이 다르도록 구현
 - 접속 계정은 IP or MAC 주소 기반으로 접근이 가능하도록 구현
 - 유휴 계정 정리 및 불법침입 방지</v>
      </c>
      <c r="E646" s="86"/>
      <c r="F646" s="87"/>
      <c r="H646" s="37" t="s">
        <v>1085</v>
      </c>
    </row>
    <row r="647" spans="2:8" x14ac:dyDescent="0.3">
      <c r="B647" s="90" t="s">
        <v>871</v>
      </c>
      <c r="C647" s="91"/>
      <c r="D647" s="88">
        <f>VLOOKUP(D643, '3. 요건기술서 전체'!$B:$L, 9, 0)</f>
        <v>0</v>
      </c>
      <c r="E647" s="88"/>
      <c r="F647" s="89"/>
      <c r="H647" s="37">
        <v>0</v>
      </c>
    </row>
    <row r="648" spans="2:8" ht="15.75" thickBot="1" x14ac:dyDescent="0.35">
      <c r="B648" s="92" t="s">
        <v>47</v>
      </c>
      <c r="C648" s="93"/>
      <c r="D648" s="99">
        <f>VLOOKUP($D643,'3. 요건기술서 전체'!$B:$L,2,0)</f>
        <v>0</v>
      </c>
      <c r="E648" s="100"/>
      <c r="F648" s="101"/>
      <c r="H648" s="37">
        <v>0</v>
      </c>
    </row>
    <row r="649" spans="2:8" ht="15.75" thickBot="1" x14ac:dyDescent="0.35">
      <c r="H649" s="37"/>
    </row>
    <row r="650" spans="2:8" x14ac:dyDescent="0.3">
      <c r="B650" s="96" t="s">
        <v>41</v>
      </c>
      <c r="C650" s="97"/>
      <c r="D650" s="30" t="str">
        <f>D642</f>
        <v>보안 요구사항</v>
      </c>
      <c r="E650" s="31" t="s">
        <v>131</v>
      </c>
      <c r="F650" s="32" t="str">
        <f>VLOOKUP($D651,'3. 요건기술서 전체'!$B:$L,6,0)</f>
        <v>필수</v>
      </c>
      <c r="H650" s="37" t="s">
        <v>691</v>
      </c>
    </row>
    <row r="651" spans="2:8" x14ac:dyDescent="0.3">
      <c r="B651" s="94" t="s">
        <v>42</v>
      </c>
      <c r="C651" s="95"/>
      <c r="D651" s="33" t="str">
        <f>LEFT(D643,3)&amp;"-"&amp;TEXT(VALUE(RIGHT(D643,3))+1,"000")</f>
        <v>SER-009</v>
      </c>
      <c r="E651" s="34" t="s">
        <v>85</v>
      </c>
      <c r="F651" s="35" t="str">
        <f>IFERROR(TRIM(IF(VLOOKUP($D651,'3. 요건기술서 전체'!$B:$L,10,0)&lt;&gt;"",IF(VLOOKUP($D651,'3. 요건기술서 전체'!$B:$L,10,0)="O", "한난O", IF(VLOOKUP($D651,'3. 요건기술서 전체'!$B:$L,10,0)="X", "한난X", "")),"") &amp; " " &amp;IF(VLOOKUP($D651,'3. 요건기술서 전체'!$B:$L,11,0)&lt;&gt;"",IF(VLOOKUP($D651,'3. 요건기술서 전체'!$B:$L,11,0)="O", "외부O", IF(VLOOKUP($D651,'3. 요건기술서 전체'!$B:$L,11,0)="X", "외부X", "")),"")),"")</f>
        <v/>
      </c>
      <c r="H651" s="44" t="s">
        <v>732</v>
      </c>
    </row>
    <row r="652" spans="2:8" x14ac:dyDescent="0.3">
      <c r="B652" s="94" t="s">
        <v>43</v>
      </c>
      <c r="C652" s="95"/>
      <c r="D652" s="85" t="str">
        <f>VLOOKUP($D651,'3. 요건기술서 전체'!$B:$L,5,0)</f>
        <v>시큐어 코딩 및 보안 취약점 제거</v>
      </c>
      <c r="E652" s="86"/>
      <c r="F652" s="87"/>
      <c r="H652" s="36" t="s">
        <v>733</v>
      </c>
    </row>
    <row r="653" spans="2:8" x14ac:dyDescent="0.3">
      <c r="B653" s="98" t="s">
        <v>44</v>
      </c>
      <c r="C653" s="43" t="s">
        <v>45</v>
      </c>
      <c r="D653" s="85" t="str">
        <f>VLOOKUP($D651,'3. 요건기술서 전체'!$B:$L,7,0)</f>
        <v>시큐어 코딩 및 보안 취약점 제거</v>
      </c>
      <c r="E653" s="86"/>
      <c r="F653" s="87"/>
      <c r="H653" s="36" t="s">
        <v>733</v>
      </c>
    </row>
    <row r="654" spans="2:8" ht="114.75" x14ac:dyDescent="0.3">
      <c r="B654" s="98"/>
      <c r="C654" s="43" t="s">
        <v>46</v>
      </c>
      <c r="D654" s="85" t="str">
        <f>VLOOKUP($D651,'3. 요건기술서 전체'!$B:$L,8,0)</f>
        <v>○ 시스템 개발 시 OS 웹서버 등에 보안패치를 실시하여야 함
○ 초기 개발 단계부터 ‘소프트웨어 개발보안 가이드(행정안전부)’를 적용하여  응용소프트웨어를 개발하여야 함
○ 수행절차에 따라 다음의 가이드를 이행
  - 요구정의 단계 : 시큐어 코딩 표준작성 및 개발자 교육 실시
  - 설계/구현 단계 : 시큐어코딩 표준준수 및 검토
  - 테스트 단계 : 시큐어코딩 진단 미 보안취약점 진단
○ “행정기관 및 공공기관 정보시스템 구축ㆍ운영 지침” 의 별표3 ‘소프트웨어 보안약점 기준’을 참조하여 웹보안 취약점을 사전에 점검하고 조치
○ 공사에서 제공하는 시큐어 코딩 진단 장비를 이용하여 개발에 적용함
○ 도입되는 모든 정보자원은 발생할 수 있는 다양한 보안 취약점을 사전에 분석하고 제거를 완료하여 안전한 제품으로 설치</v>
      </c>
      <c r="E654" s="86"/>
      <c r="F654" s="87"/>
      <c r="H654" s="37" t="s">
        <v>745</v>
      </c>
    </row>
    <row r="655" spans="2:8" ht="25.5" x14ac:dyDescent="0.3">
      <c r="B655" s="90" t="s">
        <v>871</v>
      </c>
      <c r="C655" s="91"/>
      <c r="D655" s="88" t="str">
        <f>VLOOKUP(D651, '3. 요건기술서 전체'!$B:$L, 9, 0)</f>
        <v>취약점 진단 수행 결과서,
시큐어 코딩 점검 결과서</v>
      </c>
      <c r="E655" s="88"/>
      <c r="F655" s="89"/>
      <c r="H655" s="37" t="s">
        <v>1086</v>
      </c>
    </row>
    <row r="656" spans="2:8" ht="15.75" thickBot="1" x14ac:dyDescent="0.35">
      <c r="B656" s="92" t="s">
        <v>47</v>
      </c>
      <c r="C656" s="93"/>
      <c r="D656" s="99">
        <f>VLOOKUP($D651,'3. 요건기술서 전체'!$B:$L,2,0)</f>
        <v>0</v>
      </c>
      <c r="E656" s="100"/>
      <c r="F656" s="101"/>
      <c r="H656" s="37">
        <v>0</v>
      </c>
    </row>
    <row r="657" spans="2:8" ht="15.75" thickBot="1" x14ac:dyDescent="0.35">
      <c r="H657" s="37"/>
    </row>
    <row r="658" spans="2:8" x14ac:dyDescent="0.3">
      <c r="B658" s="96" t="s">
        <v>41</v>
      </c>
      <c r="C658" s="97"/>
      <c r="D658" s="30" t="str">
        <f>D650</f>
        <v>보안 요구사항</v>
      </c>
      <c r="E658" s="31" t="s">
        <v>131</v>
      </c>
      <c r="F658" s="32" t="str">
        <f>VLOOKUP($D659,'3. 요건기술서 전체'!$B:$L,6,0)</f>
        <v>필수</v>
      </c>
      <c r="H658" s="37" t="s">
        <v>691</v>
      </c>
    </row>
    <row r="659" spans="2:8" x14ac:dyDescent="0.3">
      <c r="B659" s="94" t="s">
        <v>42</v>
      </c>
      <c r="C659" s="95"/>
      <c r="D659" s="33" t="str">
        <f>LEFT(D651,3)&amp;"-"&amp;TEXT(VALUE(RIGHT(D651,3))+1,"000")</f>
        <v>SER-010</v>
      </c>
      <c r="E659" s="34" t="s">
        <v>85</v>
      </c>
      <c r="F659" s="35" t="str">
        <f>IFERROR(TRIM(IF(VLOOKUP($D659,'3. 요건기술서 전체'!$B:$L,10,0)&lt;&gt;"",IF(VLOOKUP($D659,'3. 요건기술서 전체'!$B:$L,10,0)="O", "한난O", IF(VLOOKUP($D659,'3. 요건기술서 전체'!$B:$L,10,0)="X", "한난X", "")),"") &amp; " " &amp;IF(VLOOKUP($D659,'3. 요건기술서 전체'!$B:$L,11,0)&lt;&gt;"",IF(VLOOKUP($D659,'3. 요건기술서 전체'!$B:$L,11,0)="O", "외부O", IF(VLOOKUP($D659,'3. 요건기술서 전체'!$B:$L,11,0)="X", "외부X", "")),"")),"")</f>
        <v/>
      </c>
      <c r="H659" s="44" t="s">
        <v>734</v>
      </c>
    </row>
    <row r="660" spans="2:8" x14ac:dyDescent="0.3">
      <c r="B660" s="94" t="s">
        <v>43</v>
      </c>
      <c r="C660" s="95"/>
      <c r="D660" s="85" t="str">
        <f>VLOOKUP($D659,'3. 요건기술서 전체'!$B:$L,5,0)</f>
        <v>데이터 및 DB 암호화</v>
      </c>
      <c r="E660" s="86"/>
      <c r="F660" s="87"/>
      <c r="H660" s="36" t="s">
        <v>735</v>
      </c>
    </row>
    <row r="661" spans="2:8" x14ac:dyDescent="0.3">
      <c r="B661" s="98" t="s">
        <v>44</v>
      </c>
      <c r="C661" s="43" t="s">
        <v>45</v>
      </c>
      <c r="D661" s="85" t="str">
        <f>VLOOKUP($D659,'3. 요건기술서 전체'!$B:$L,7,0)</f>
        <v>사용자 정보에 대한 저장 관리 방안 정의</v>
      </c>
      <c r="E661" s="86"/>
      <c r="F661" s="87"/>
      <c r="H661" s="36" t="s">
        <v>746</v>
      </c>
    </row>
    <row r="662" spans="2:8" ht="293.25" x14ac:dyDescent="0.3">
      <c r="B662" s="98"/>
      <c r="C662" s="43" t="s">
        <v>46</v>
      </c>
      <c r="D662" s="85" t="str">
        <f>VLOOKUP($D659,'3. 요건기술서 전체'!$B:$L,8,0)</f>
        <v>○ 패스워드, 주민번호 등 각 기능에서 명시된 [중요 데이터]는 반드시 암호화하여 DB에 저장하고, 일반 사용자는 직접 DB 접근을 할 수 없음
○ 클라이언트에 인증정보 및 세션 정보를 저장하지 않는 것을 원칙으로 하고, 클라이언트에 저장할 경우 암호화 등 보호 방안을 수립
○ 첨부파일 등 개인정보를 비정형데이터에 대한 암호화 지원 및 적정한 권한자만 조회/활용할 수 있도록 구현
○ DBA (DB관리자)
 - 데이터베이스관리자를 따로 지정하여 데이터베이스 관리
 - DB 사용자를 등록하고 적절한 역할(Role)과 권한(Privilege) 부여
 - DB 사용자의 임의 접근을 차단하고, 접근을 허가한 경우라도 신청자의 업무와 관련된 DB에로의 접근만 허가
○ DB 사용자
 - DB Application사용자는 정당한 사유 없이 서버 Prompt에 접근금지
 - 업무상의 이유로 DB에 접속할 경우라도 반드시 DBA의 허가 필요
○ DB 저장 시 보안이 필요한 필드는 암·복호화
 - 적용 대상 : 암호화되어 저장해야 할 보안 필드
 - 적용 방안 : DB 보안솔루션 활용 또는 별도의 모듈로 암·복호화
○ 암호화 대상
 - DB서버 내 중요 개인정보(고유식별정보, 비밀번호) 등
 - 개인정보에 대한 접근 이력을 관리하여야 함
○ 프로그램(및 시스템) 및 DB보안
 - 발주기관의 시스템 관리자를 제외하고는 DB에 직접 접근 할 수 없다.
 - 사용자 인증정보, 패스워드 등은 소스코드에 직접 하드코딩 하지 않고 전송 중에 암호화되어 해킹 등에 노출되지 않도록 하여야 한다.
○ DB 및 APP 서버 접근제한
 - DB 및 APP 서버는 기본적으로 일반사용자의 임의 접근을 제한한다.
 - 접근을 허가한 경우라도 업무와 연관된 DB 및 APP 서버만 접근 허가가 가능하다.
 - 모든 DB 및 APP 서버의 접근은 관리자의 허가를 득한 후 사용가능하다</v>
      </c>
      <c r="E662" s="86"/>
      <c r="F662" s="87"/>
      <c r="H662" s="37" t="s">
        <v>1087</v>
      </c>
    </row>
    <row r="663" spans="2:8" x14ac:dyDescent="0.3">
      <c r="B663" s="90" t="s">
        <v>871</v>
      </c>
      <c r="C663" s="91"/>
      <c r="D663" s="88" t="str">
        <f>VLOOKUP(D659, '3. 요건기술서 전체'!$B:$L, 9, 0)</f>
        <v>DB암호화 점검 결과서</v>
      </c>
      <c r="E663" s="88"/>
      <c r="F663" s="89"/>
      <c r="H663" s="37" t="s">
        <v>1088</v>
      </c>
    </row>
    <row r="664" spans="2:8" ht="15.75" thickBot="1" x14ac:dyDescent="0.35">
      <c r="B664" s="92" t="s">
        <v>47</v>
      </c>
      <c r="C664" s="93"/>
      <c r="D664" s="99">
        <f>VLOOKUP($D659,'3. 요건기술서 전체'!$B:$L,2,0)</f>
        <v>0</v>
      </c>
      <c r="E664" s="100"/>
      <c r="F664" s="101"/>
      <c r="H664" s="37">
        <v>0</v>
      </c>
    </row>
    <row r="665" spans="2:8" ht="15.75" thickBot="1" x14ac:dyDescent="0.35">
      <c r="H665" s="37"/>
    </row>
    <row r="666" spans="2:8" x14ac:dyDescent="0.3">
      <c r="B666" s="96" t="s">
        <v>41</v>
      </c>
      <c r="C666" s="97"/>
      <c r="D666" s="30" t="str">
        <f>D658</f>
        <v>보안 요구사항</v>
      </c>
      <c r="E666" s="31" t="s">
        <v>131</v>
      </c>
      <c r="F666" s="32" t="str">
        <f>VLOOKUP($D667,'3. 요건기술서 전체'!$B:$L,6,0)</f>
        <v>필수</v>
      </c>
      <c r="H666" s="37" t="s">
        <v>691</v>
      </c>
    </row>
    <row r="667" spans="2:8" x14ac:dyDescent="0.3">
      <c r="B667" s="94" t="s">
        <v>42</v>
      </c>
      <c r="C667" s="95"/>
      <c r="D667" s="33" t="str">
        <f>LEFT(D659,3)&amp;"-"&amp;TEXT(VALUE(RIGHT(D659,3))+1,"000")</f>
        <v>SER-011</v>
      </c>
      <c r="E667" s="34" t="s">
        <v>85</v>
      </c>
      <c r="F667" s="35" t="str">
        <f>IFERROR(TRIM(IF(VLOOKUP($D667,'3. 요건기술서 전체'!$B:$L,10,0)&lt;&gt;"",IF(VLOOKUP($D667,'3. 요건기술서 전체'!$B:$L,10,0)="O", "한난O", IF(VLOOKUP($D667,'3. 요건기술서 전체'!$B:$L,10,0)="X", "한난X", "")),"") &amp; " " &amp;IF(VLOOKUP($D667,'3. 요건기술서 전체'!$B:$L,11,0)&lt;&gt;"",IF(VLOOKUP($D667,'3. 요건기술서 전체'!$B:$L,11,0)="O", "외부O", IF(VLOOKUP($D667,'3. 요건기술서 전체'!$B:$L,11,0)="X", "외부X", "")),"")),"")</f>
        <v/>
      </c>
      <c r="H667" s="44" t="s">
        <v>736</v>
      </c>
    </row>
    <row r="668" spans="2:8" x14ac:dyDescent="0.3">
      <c r="B668" s="94" t="s">
        <v>43</v>
      </c>
      <c r="C668" s="95"/>
      <c r="D668" s="85" t="str">
        <f>VLOOKUP($D667,'3. 요건기술서 전체'!$B:$L,5,0)</f>
        <v>개인정보보호법 관련 준수</v>
      </c>
      <c r="E668" s="86"/>
      <c r="F668" s="87"/>
      <c r="H668" s="36" t="s">
        <v>737</v>
      </c>
    </row>
    <row r="669" spans="2:8" x14ac:dyDescent="0.3">
      <c r="B669" s="98" t="s">
        <v>44</v>
      </c>
      <c r="C669" s="43" t="s">
        <v>45</v>
      </c>
      <c r="D669" s="85" t="str">
        <f>VLOOKUP($D667,'3. 요건기술서 전체'!$B:$L,7,0)</f>
        <v>개인정보 생애주기를 고려한 체계적인 개인정보보호법 준수에 대한 정의</v>
      </c>
      <c r="E669" s="86"/>
      <c r="F669" s="87"/>
      <c r="H669" s="36" t="s">
        <v>747</v>
      </c>
    </row>
    <row r="670" spans="2:8" ht="382.5" x14ac:dyDescent="0.3">
      <c r="B670" s="98"/>
      <c r="C670" s="43" t="s">
        <v>46</v>
      </c>
      <c r="D670" s="85" t="str">
        <f>VLOOKUP($D667,'3. 요건기술서 전체'!$B:$L,8,0)</f>
        <v>○ 개인정보를 다루는 프로세스는 다음의 사항을 고려하여 설계 및 구현
○ 개인정보 생애 주기 단계
 - 개인정보 항목 도출 (업무설계 시) 단계에서의 관리 방안
 - 수집 (생성/제공) 단계에서의 관리 방안
 - 이용/저장 단계에서의 관리 방안
 - 제공/위탁 단계에서의 관리 방안
 - 파기 단계에서의 관리 방안
○ 세부 이행 내역은 본 기관과 개인정보/보안/업무 담당자 협의하여 정의
○ 개인정보 보호 개념 정의
 - 각 기능에 명시된 개인정보(이름, 사번 등)는 반드시 암호화하여 DB에 저장
 - 관리자인 경우에도 화면에 해당 정보를 그대로 노출 불가
○ 개인정보보호 강화를 위한 솔루션 적용 및 암호화 방안
 - 실명인증 또는 공공 I-PIN, 회원가입에 의한 로그인 및 회원정보 관리 시 구간 암호화(SSL) 적용
○ 소프트웨어 개발보안 준수(홈페이지 SW(웹) 개발보안 가이드라인)
○ 개인정보 안정성 확보조치
 - 접근통제 및 접근권한 제한(관리자 계정 공유금지, 안전한 비밀번호)
 - 개인정보 암호화 관리 및 모든 데이터는 표준코드 사용
 - 접속기록 보관 : 기본 2년 주기 삭제, 업무별 1년, 6개월, 3개월 차별화
 - 보안프로그램 설치 : 소스코드 보안 솔루션을 이용한 모든 웹 어플리케이션 보안약점 점검(쿠키나 세션을 이용한 정보 저장 시 암호화된 데이터이 용)
 - 개인정보제공 동의 시 선택사항, 필수사항 구분
 - 시스템 보안성을 충분히 감안하여 해킹 차단, 개인정보보호 기술을 적용하여 구축하며, 기존 웹 서비스 속도에 영향이 미치지 않도록 설계
 - 웹 보안성을 위해 프로그램(코드부분)과 데이터 영역(게시물, 첨부물 등)을 엄격히 분리 개발
 - 데이터 및 장비의 무결성 및 가용성 유지를 위해 백업정책에 참여하고 사고 발생 시 적시에 복구할 수 있도록 지원
○ 개인정보 보호대책 및 강화 방안 제시
 - 등록회원의 개인정보 보호를 위한 방안을 마련하고, 시스템으로 지원이 가능하도록 구축하고, 개인정보는 반드시 암/복호화 하여 사용
 - 개인정보 보호관련 법규, 지침, 소프트웨어 개발보안 준수
 - 개인정보 암호화 관리 및 모든 데이터는 표준코드 사용
 - 시스템 보안성을 충분히 감안하여 해킹 차단, 개인정보보호 기술을 적용하여 구축, 기존의 웹 서비스 속도에 영향이 미치지 않도록 설계
 - 모든 개인정보 유출방지를 위한 암호화 기능 구현 및 DB암호화 저장
 - 데이터 및 장비의 무결성 ACL 가용성 유지를 위해 백업정책에 참여하고 사고 발생 시 적시에 복구할 수 있도록 지원</v>
      </c>
      <c r="E670" s="86"/>
      <c r="F670" s="87"/>
      <c r="H670" s="37" t="s">
        <v>1089</v>
      </c>
    </row>
    <row r="671" spans="2:8" x14ac:dyDescent="0.3">
      <c r="B671" s="90" t="s">
        <v>871</v>
      </c>
      <c r="C671" s="91"/>
      <c r="D671" s="88">
        <f>VLOOKUP(D667, '3. 요건기술서 전체'!$B:$L, 9, 0)</f>
        <v>0</v>
      </c>
      <c r="E671" s="88"/>
      <c r="F671" s="89"/>
      <c r="H671" s="37">
        <v>0</v>
      </c>
    </row>
    <row r="672" spans="2:8" ht="15.75" thickBot="1" x14ac:dyDescent="0.35">
      <c r="B672" s="92" t="s">
        <v>47</v>
      </c>
      <c r="C672" s="93"/>
      <c r="D672" s="99">
        <f>VLOOKUP($D667,'3. 요건기술서 전체'!$B:$L,2,0)</f>
        <v>0</v>
      </c>
      <c r="E672" s="100"/>
      <c r="F672" s="101"/>
      <c r="H672" s="37">
        <v>0</v>
      </c>
    </row>
    <row r="673" spans="2:8" ht="15.75" thickBot="1" x14ac:dyDescent="0.35">
      <c r="H673" s="37"/>
    </row>
    <row r="674" spans="2:8" x14ac:dyDescent="0.3">
      <c r="B674" s="96" t="s">
        <v>41</v>
      </c>
      <c r="C674" s="97"/>
      <c r="D674" s="30" t="str">
        <f>D666</f>
        <v>보안 요구사항</v>
      </c>
      <c r="E674" s="31" t="s">
        <v>131</v>
      </c>
      <c r="F674" s="32" t="str">
        <f>VLOOKUP($D675,'3. 요건기술서 전체'!$B:$L,6,0)</f>
        <v>필수</v>
      </c>
      <c r="H674" s="37" t="s">
        <v>691</v>
      </c>
    </row>
    <row r="675" spans="2:8" x14ac:dyDescent="0.3">
      <c r="B675" s="94" t="s">
        <v>42</v>
      </c>
      <c r="C675" s="95"/>
      <c r="D675" s="33" t="str">
        <f>LEFT(D667,3)&amp;"-"&amp;TEXT(VALUE(RIGHT(D667,3))+1,"000")</f>
        <v>SER-012</v>
      </c>
      <c r="E675" s="34" t="s">
        <v>85</v>
      </c>
      <c r="F675" s="35" t="str">
        <f>IFERROR(TRIM(IF(VLOOKUP($D675,'3. 요건기술서 전체'!$B:$L,10,0)&lt;&gt;"",IF(VLOOKUP($D675,'3. 요건기술서 전체'!$B:$L,10,0)="O", "한난O", IF(VLOOKUP($D675,'3. 요건기술서 전체'!$B:$L,10,0)="X", "한난X", "")),"") &amp; " " &amp;IF(VLOOKUP($D675,'3. 요건기술서 전체'!$B:$L,11,0)&lt;&gt;"",IF(VLOOKUP($D675,'3. 요건기술서 전체'!$B:$L,11,0)="O", "외부O", IF(VLOOKUP($D675,'3. 요건기술서 전체'!$B:$L,11,0)="X", "외부X", "")),"")),"")</f>
        <v/>
      </c>
      <c r="H675" s="44" t="s">
        <v>738</v>
      </c>
    </row>
    <row r="676" spans="2:8" x14ac:dyDescent="0.3">
      <c r="B676" s="94" t="s">
        <v>43</v>
      </c>
      <c r="C676" s="95"/>
      <c r="D676" s="85" t="str">
        <f>VLOOKUP($D675,'3. 요건기술서 전체'!$B:$L,5,0)</f>
        <v>기타 보안사항</v>
      </c>
      <c r="E676" s="86"/>
      <c r="F676" s="87"/>
      <c r="H676" s="36" t="s">
        <v>739</v>
      </c>
    </row>
    <row r="677" spans="2:8" x14ac:dyDescent="0.3">
      <c r="B677" s="98" t="s">
        <v>44</v>
      </c>
      <c r="C677" s="43" t="s">
        <v>45</v>
      </c>
      <c r="D677" s="85" t="str">
        <f>VLOOKUP($D675,'3. 요건기술서 전체'!$B:$L,7,0)</f>
        <v>기타 보안사항</v>
      </c>
      <c r="E677" s="86"/>
      <c r="F677" s="87"/>
      <c r="H677" s="36" t="s">
        <v>739</v>
      </c>
    </row>
    <row r="678" spans="2:8" ht="318.75" x14ac:dyDescent="0.3">
      <c r="B678" s="98"/>
      <c r="C678" s="43" t="s">
        <v>46</v>
      </c>
      <c r="D678" s="85" t="str">
        <f>VLOOKUP($D675,'3. 요건기술서 전체'!$B:$L,8,0)</f>
        <v>○ Web 방식의 구현방법은 보안웹서버(https://)로 구현 
○ 조회 총괄 화면에서 개인정보로 식별된 정보가 표시되지 않도록 함
○ 테스트 DB 및 목표 시스템 DB에 개인정보 데이터는 암호화하여 저장하고 필요시 복호화
○ 사용자 인증 정보, 주민등록번호, 계좌번호, 패스워드 등 주요 민감정보는 소스코드에 직접 하드코딩 하지 않도록 함
○ 외부 정보시스템과 연계하여 데이터를 송ㆍ수신할 때 데이터의 암호화 및 기록에 대한 보안방안을 제시하고 구현
○ 공공기관 개인정보보호에 관한 법률에 의거 개인정보보호지침을 준수하여야 함
○ 보안 기술 적용 개념 정의
 - 보안요구사항 및 시스템간의 관련성을 분석하고 적용할 보안기술, 표준, 제안 방안 등을 구체적으로 제시
○ 사용자, 업무부서, 시스템 권한 관리를 해야 함
○ 계정 및 메뉴그룹 매핑 관리를 해야 함
○ 관리자의 사용자계정 및 암호 등 권한 관리 및 보안 기능이 되어야 함
○ 사용자(내/외부)의 작업 종류(열람, 출력 등), 작업 시간(로그 온/오프)등을 기록·저장 (1년 이상) 하고 공사 보유 통합로그시스템과 연계하여 관리하여야 함
○ 본 사업의 보안성 검토 결과에 대한 보안성 조치를 완료하여야 함
 - 서비스 오픈 전 국정원 보안성 검토 결과 반영
○ 페이지 보안 개념 정의
 - 관리자 페이지에 SQL인젝션, 크로스사이트스크립팅, 웹 쉘 업로드, 임의파일 다운로드 등의 웹 취약점이 없어야 함
 - 관리자를 위한 별도의 클라이언트 프로그램을 제공할 경우 악용 가능한 취약점이나 기능이 없어야 함
○ 웹페이지 보안에 관한 사항
 - SQL인젝션, 크로스사이트스크립팅, 웹 쉘 업로드, 임의파일 다운로드, 디렉토리 리스팅 등의 웹 취약점이 없어야 함
 - 관리자를 위한 별도의 클라이언트 프로그램을 제공할 경우 악용 가능한 취약점이나 기능이 없어야 함
○ 서버(장비) 보안을 보장하여야 함
 - 서비스에 필요한 데몬만 구동해야 함
 - 침입차단 서버에(Appliance) 설치된 OS 및 데몬은 알려진 취약점에 대한 보안 패치가 적용되어야 함
 - 서버점검항목에서 취약한 항목이 발생하지 않도록 보안설정이 되어야함</v>
      </c>
      <c r="E678" s="86"/>
      <c r="F678" s="87"/>
      <c r="H678" s="37" t="s">
        <v>1090</v>
      </c>
    </row>
    <row r="679" spans="2:8" x14ac:dyDescent="0.3">
      <c r="B679" s="90" t="s">
        <v>871</v>
      </c>
      <c r="C679" s="91"/>
      <c r="D679" s="88">
        <f>VLOOKUP(D675, '3. 요건기술서 전체'!$B:$L, 9, 0)</f>
        <v>0</v>
      </c>
      <c r="E679" s="88"/>
      <c r="F679" s="89"/>
      <c r="H679" s="37">
        <v>0</v>
      </c>
    </row>
    <row r="680" spans="2:8" ht="15.75" thickBot="1" x14ac:dyDescent="0.35">
      <c r="B680" s="92" t="s">
        <v>47</v>
      </c>
      <c r="C680" s="93"/>
      <c r="D680" s="99">
        <f>VLOOKUP($D675,'3. 요건기술서 전체'!$B:$L,2,0)</f>
        <v>0</v>
      </c>
      <c r="E680" s="100"/>
      <c r="F680" s="101"/>
      <c r="H680" s="37">
        <v>0</v>
      </c>
    </row>
    <row r="681" spans="2:8" ht="15.75" thickBot="1" x14ac:dyDescent="0.35">
      <c r="H681" s="37"/>
    </row>
    <row r="682" spans="2:8" x14ac:dyDescent="0.3">
      <c r="B682" s="96" t="s">
        <v>41</v>
      </c>
      <c r="C682" s="97"/>
      <c r="D682" s="30" t="str">
        <f>D674</f>
        <v>보안 요구사항</v>
      </c>
      <c r="E682" s="31" t="s">
        <v>131</v>
      </c>
      <c r="F682" s="32" t="str">
        <f>VLOOKUP($D683,'3. 요건기술서 전체'!$B:$L,6,0)</f>
        <v>필수</v>
      </c>
      <c r="H682" s="37" t="s">
        <v>691</v>
      </c>
    </row>
    <row r="683" spans="2:8" x14ac:dyDescent="0.3">
      <c r="B683" s="94" t="s">
        <v>42</v>
      </c>
      <c r="C683" s="95"/>
      <c r="D683" s="33" t="str">
        <f>LEFT(D675,3)&amp;"-"&amp;TEXT(VALUE(RIGHT(D675,3))+1,"000")</f>
        <v>SER-013</v>
      </c>
      <c r="E683" s="34" t="s">
        <v>85</v>
      </c>
      <c r="F683" s="35" t="str">
        <f>IFERROR(TRIM(IF(VLOOKUP($D683,'3. 요건기술서 전체'!$B:$L,10,0)&lt;&gt;"",IF(VLOOKUP($D683,'3. 요건기술서 전체'!$B:$L,10,0)="O", "한난O", IF(VLOOKUP($D683,'3. 요건기술서 전체'!$B:$L,10,0)="X", "한난X", "")),"") &amp; " " &amp;IF(VLOOKUP($D683,'3. 요건기술서 전체'!$B:$L,11,0)&lt;&gt;"",IF(VLOOKUP($D683,'3. 요건기술서 전체'!$B:$L,11,0)="O", "외부O", IF(VLOOKUP($D683,'3. 요건기술서 전체'!$B:$L,11,0)="X", "외부X", "")),"")),"")</f>
        <v/>
      </c>
      <c r="H683" s="44" t="s">
        <v>740</v>
      </c>
    </row>
    <row r="684" spans="2:8" x14ac:dyDescent="0.3">
      <c r="B684" s="94" t="s">
        <v>43</v>
      </c>
      <c r="C684" s="95"/>
      <c r="D684" s="85" t="str">
        <f>VLOOKUP($D683,'3. 요건기술서 전체'!$B:$L,5,0)</f>
        <v>API 보안 관리</v>
      </c>
      <c r="E684" s="86"/>
      <c r="F684" s="87"/>
      <c r="H684" s="36" t="s">
        <v>741</v>
      </c>
    </row>
    <row r="685" spans="2:8" x14ac:dyDescent="0.3">
      <c r="B685" s="98" t="s">
        <v>44</v>
      </c>
      <c r="C685" s="43" t="s">
        <v>45</v>
      </c>
      <c r="D685" s="85" t="str">
        <f>VLOOKUP($D683,'3. 요건기술서 전체'!$B:$L,7,0)</f>
        <v>API 사용 시 보안 관리 방안</v>
      </c>
      <c r="E685" s="86"/>
      <c r="F685" s="87"/>
      <c r="H685" s="36" t="s">
        <v>748</v>
      </c>
    </row>
    <row r="686" spans="2:8" ht="51" x14ac:dyDescent="0.3">
      <c r="B686" s="98"/>
      <c r="C686" s="43" t="s">
        <v>46</v>
      </c>
      <c r="D686" s="85" t="str">
        <f>VLOOKUP($D683,'3. 요건기술서 전체'!$B:$L,8,0)</f>
        <v xml:space="preserve">○ API 사용 시 다음의 보안 관리 방안을 준수해야 함
 - API키 암호화된 파일 내 보관
 - API키 사용자 접근 권한 최소화 및 정기 점검
 - 악의적 활동 발견 시 대응 방안 마련 </v>
      </c>
      <c r="E686" s="86"/>
      <c r="F686" s="87"/>
      <c r="H686" s="37" t="s">
        <v>749</v>
      </c>
    </row>
    <row r="687" spans="2:8" x14ac:dyDescent="0.3">
      <c r="B687" s="90" t="s">
        <v>871</v>
      </c>
      <c r="C687" s="91"/>
      <c r="D687" s="88">
        <f>VLOOKUP(D683, '3. 요건기술서 전체'!$B:$L, 9, 0)</f>
        <v>0</v>
      </c>
      <c r="E687" s="88"/>
      <c r="F687" s="89"/>
      <c r="H687" s="37">
        <v>0</v>
      </c>
    </row>
    <row r="688" spans="2:8" ht="15.75" thickBot="1" x14ac:dyDescent="0.35">
      <c r="B688" s="92" t="s">
        <v>47</v>
      </c>
      <c r="C688" s="93"/>
      <c r="D688" s="99">
        <f>VLOOKUP($D683,'3. 요건기술서 전체'!$B:$L,2,0)</f>
        <v>0</v>
      </c>
      <c r="E688" s="100"/>
      <c r="F688" s="101"/>
      <c r="H688" s="37">
        <v>0</v>
      </c>
    </row>
    <row r="689" spans="2:8" ht="15.75" thickBot="1" x14ac:dyDescent="0.35">
      <c r="H689" s="37"/>
    </row>
    <row r="690" spans="2:8" x14ac:dyDescent="0.3">
      <c r="B690" s="96" t="s">
        <v>41</v>
      </c>
      <c r="C690" s="97"/>
      <c r="D690" s="30" t="s">
        <v>141</v>
      </c>
      <c r="E690" s="31" t="s">
        <v>131</v>
      </c>
      <c r="F690" s="32" t="str">
        <f>VLOOKUP($D691,'3. 요건기술서 전체'!$B:$L,6,0)</f>
        <v>필수</v>
      </c>
      <c r="H690" s="37" t="s">
        <v>692</v>
      </c>
    </row>
    <row r="691" spans="2:8" x14ac:dyDescent="0.3">
      <c r="B691" s="94" t="s">
        <v>42</v>
      </c>
      <c r="C691" s="95"/>
      <c r="D691" s="33" t="s">
        <v>432</v>
      </c>
      <c r="E691" s="34" t="s">
        <v>85</v>
      </c>
      <c r="F691" s="35" t="str">
        <f>IFERROR(TRIM(IF(VLOOKUP($D691,'3. 요건기술서 전체'!$B:$L,10,0)&lt;&gt;"",IF(VLOOKUP($D691,'3. 요건기술서 전체'!$B:$L,10,0)="O", "한난O", IF(VLOOKUP($D691,'3. 요건기술서 전체'!$B:$L,10,0)="X", "한난X", "")),"") &amp; " " &amp;IF(VLOOKUP($D691,'3. 요건기술서 전체'!$B:$L,11,0)&lt;&gt;"",IF(VLOOKUP($D691,'3. 요건기술서 전체'!$B:$L,11,0)="O", "외부O", IF(VLOOKUP($D691,'3. 요건기술서 전체'!$B:$L,11,0)="X", "외부X", "")),"")),"")</f>
        <v/>
      </c>
      <c r="H691" s="44" t="s">
        <v>432</v>
      </c>
    </row>
    <row r="692" spans="2:8" x14ac:dyDescent="0.3">
      <c r="B692" s="94" t="s">
        <v>43</v>
      </c>
      <c r="C692" s="95"/>
      <c r="D692" s="85" t="str">
        <f>VLOOKUP($D691,'3. 요건기술서 전체'!$B:$L,5,0)</f>
        <v xml:space="preserve"> 데이터 표준 수립 및 상위표준 준수</v>
      </c>
      <c r="E692" s="86"/>
      <c r="F692" s="87"/>
      <c r="H692" s="36" t="s">
        <v>639</v>
      </c>
    </row>
    <row r="693" spans="2:8" x14ac:dyDescent="0.3">
      <c r="B693" s="98" t="s">
        <v>44</v>
      </c>
      <c r="C693" s="43" t="s">
        <v>45</v>
      </c>
      <c r="D693" s="85" t="str">
        <f>VLOOKUP($D691,'3. 요건기술서 전체'!$B:$L,7,0)</f>
        <v xml:space="preserve"> 데이터 표준 수립</v>
      </c>
      <c r="E693" s="86"/>
      <c r="F693" s="87"/>
      <c r="H693" s="36" t="s">
        <v>641</v>
      </c>
    </row>
    <row r="694" spans="2:8" ht="76.5" x14ac:dyDescent="0.3">
      <c r="B694" s="98"/>
      <c r="C694" s="43" t="s">
        <v>46</v>
      </c>
      <c r="D694" s="85" t="str">
        <f>VLOOKUP($D691,'3. 요건기술서 전체'!$B:$L,8,0)</f>
        <v>○ 데이터 표준 개선·정비 및 상위표준 준수
  - 시스템 고도화(기능 추가 등)에 따라 추가적으로 필요한 데이터 표준(단어, 용어, 도메인, 코드)을 정의하고 데이터베이스 표준(DB표준)에 추가(반영)하여야 함
  - DB표준 정의 시 공통표준(공공기관의 데이터베이스 표준화 지침(행정안전부 고시), 공공데이터 공통표준용어·단어·도메인)과 발주기관의 기관표준(기관표준용어·단어·도메인·코드) 준용 여부를 식별할 수 있도록 하여야 함
  - DB표준 수립 후 공사 내 표준관리시스템(SMETA) 내 업로드하여야 함</v>
      </c>
      <c r="E694" s="86"/>
      <c r="F694" s="87"/>
      <c r="H694" s="37" t="s">
        <v>764</v>
      </c>
    </row>
    <row r="695" spans="2:8" ht="25.5" x14ac:dyDescent="0.3">
      <c r="B695" s="90" t="s">
        <v>98</v>
      </c>
      <c r="C695" s="91"/>
      <c r="D695" s="38" t="str">
        <f>VLOOKUP($D691,'3. 요건기술서 전체'!$B:$L,9,0)</f>
        <v xml:space="preserve"> 표준용어 정의서, 표준단어 정의서, 표준도메인 정의서, 표준코드 정의서
 (SMETA 업로드 후 산출물 다운로드하여 제출)</v>
      </c>
      <c r="E695" s="39"/>
      <c r="F695" s="40"/>
      <c r="H695" s="37" t="s">
        <v>876</v>
      </c>
    </row>
    <row r="696" spans="2:8" ht="15.75" thickBot="1" x14ac:dyDescent="0.35">
      <c r="B696" s="92" t="s">
        <v>47</v>
      </c>
      <c r="C696" s="93"/>
      <c r="D696" s="99" t="str">
        <f>VLOOKUP($D691,'3. 요건기술서 전체'!$B:$L,2,0)</f>
        <v>DAR-002</v>
      </c>
      <c r="E696" s="100"/>
      <c r="F696" s="101"/>
      <c r="H696" s="37" t="s">
        <v>434</v>
      </c>
    </row>
    <row r="697" spans="2:8" ht="15.75" thickBot="1" x14ac:dyDescent="0.35">
      <c r="H697" s="37"/>
    </row>
    <row r="698" spans="2:8" x14ac:dyDescent="0.3">
      <c r="B698" s="96" t="s">
        <v>41</v>
      </c>
      <c r="C698" s="97"/>
      <c r="D698" s="30" t="str">
        <f>D690</f>
        <v>데이터 요구사항</v>
      </c>
      <c r="E698" s="31" t="s">
        <v>131</v>
      </c>
      <c r="F698" s="32" t="str">
        <f>VLOOKUP($D699,'3. 요건기술서 전체'!$B:$L,6,0)</f>
        <v>필수</v>
      </c>
      <c r="H698" s="37" t="s">
        <v>692</v>
      </c>
    </row>
    <row r="699" spans="2:8" x14ac:dyDescent="0.3">
      <c r="B699" s="94" t="s">
        <v>42</v>
      </c>
      <c r="C699" s="95"/>
      <c r="D699" s="33" t="str">
        <f>LEFT(D691,3)&amp;"-"&amp;TEXT(VALUE(RIGHT(D691,3))+1,"000")</f>
        <v>DAR-002</v>
      </c>
      <c r="E699" s="34" t="s">
        <v>85</v>
      </c>
      <c r="F699" s="35" t="str">
        <f>IFERROR(TRIM(IF(VLOOKUP($D699,'3. 요건기술서 전체'!$B:$L,10,0)&lt;&gt;"",IF(VLOOKUP($D699,'3. 요건기술서 전체'!$B:$L,10,0)="O", "한난O", IF(VLOOKUP($D699,'3. 요건기술서 전체'!$B:$L,10,0)="X", "한난X", "")),"") &amp; " " &amp;IF(VLOOKUP($D699,'3. 요건기술서 전체'!$B:$L,11,0)&lt;&gt;"",IF(VLOOKUP($D699,'3. 요건기술서 전체'!$B:$L,11,0)="O", "외부O", IF(VLOOKUP($D699,'3. 요건기술서 전체'!$B:$L,11,0)="X", "외부X", "")),"")),"")</f>
        <v/>
      </c>
      <c r="H699" s="44" t="s">
        <v>434</v>
      </c>
    </row>
    <row r="700" spans="2:8" x14ac:dyDescent="0.3">
      <c r="B700" s="94" t="s">
        <v>43</v>
      </c>
      <c r="C700" s="95"/>
      <c r="D700" s="85" t="str">
        <f>VLOOKUP($D699,'3. 요건기술서 전체'!$B:$L,5,0)</f>
        <v xml:space="preserve"> 데이터 표준관리</v>
      </c>
      <c r="E700" s="86"/>
      <c r="F700" s="87"/>
      <c r="H700" s="36" t="s">
        <v>644</v>
      </c>
    </row>
    <row r="701" spans="2:8" x14ac:dyDescent="0.3">
      <c r="B701" s="98" t="s">
        <v>44</v>
      </c>
      <c r="C701" s="43" t="s">
        <v>45</v>
      </c>
      <c r="D701" s="85" t="str">
        <f>VLOOKUP($D699,'3. 요건기술서 전체'!$B:$L,7,0)</f>
        <v xml:space="preserve"> 데이터 표준관리 방안</v>
      </c>
      <c r="E701" s="86"/>
      <c r="F701" s="87"/>
      <c r="H701" s="36" t="s">
        <v>646</v>
      </c>
    </row>
    <row r="702" spans="2:8" ht="38.25" x14ac:dyDescent="0.3">
      <c r="B702" s="98"/>
      <c r="C702" s="43" t="s">
        <v>46</v>
      </c>
      <c r="D702" s="85" t="str">
        <f>VLOOKUP($D699,'3. 요건기술서 전체'!$B:$L,8,0)</f>
        <v>○ 데이터 표준관리 방안 제시
  - 공사 관리 기준을 적용하여 관리방안 제시
  - 시스템 구축기간 동안 데이터 표준 관리를 위한 방안(변경이력 포함)을 제시하고 DB표준과 데이터 항목의 일치여부를 주기적으로 점검하여야 함</v>
      </c>
      <c r="E702" s="86"/>
      <c r="F702" s="87"/>
      <c r="H702" s="37" t="s">
        <v>765</v>
      </c>
    </row>
    <row r="703" spans="2:8" x14ac:dyDescent="0.3">
      <c r="B703" s="90" t="s">
        <v>98</v>
      </c>
      <c r="C703" s="91"/>
      <c r="D703" s="38" t="str">
        <f>VLOOKUP($D699,'3. 요건기술서 전체'!$B:$L,9,0)</f>
        <v xml:space="preserve"> 데이터 표준관리 방안(매뉴얼, 가이드 등)</v>
      </c>
      <c r="E703" s="39"/>
      <c r="F703" s="40"/>
      <c r="H703" s="37" t="s">
        <v>648</v>
      </c>
    </row>
    <row r="704" spans="2:8" ht="15.75" thickBot="1" x14ac:dyDescent="0.35">
      <c r="B704" s="92" t="s">
        <v>47</v>
      </c>
      <c r="C704" s="93"/>
      <c r="D704" s="99" t="str">
        <f>VLOOKUP($D699,'3. 요건기술서 전체'!$B:$L,2,0)</f>
        <v>DAR-001</v>
      </c>
      <c r="E704" s="100"/>
      <c r="F704" s="101"/>
      <c r="H704" s="37" t="s">
        <v>432</v>
      </c>
    </row>
    <row r="705" spans="2:8" ht="15.75" thickBot="1" x14ac:dyDescent="0.35">
      <c r="H705" s="37"/>
    </row>
    <row r="706" spans="2:8" x14ac:dyDescent="0.3">
      <c r="B706" s="96" t="s">
        <v>41</v>
      </c>
      <c r="C706" s="97"/>
      <c r="D706" s="30" t="str">
        <f>D698</f>
        <v>데이터 요구사항</v>
      </c>
      <c r="E706" s="31" t="s">
        <v>131</v>
      </c>
      <c r="F706" s="32" t="str">
        <f>VLOOKUP($D707,'3. 요건기술서 전체'!$B:$L,6,0)</f>
        <v>필수</v>
      </c>
      <c r="H706" s="37" t="s">
        <v>692</v>
      </c>
    </row>
    <row r="707" spans="2:8" x14ac:dyDescent="0.3">
      <c r="B707" s="94" t="s">
        <v>42</v>
      </c>
      <c r="C707" s="95"/>
      <c r="D707" s="33" t="str">
        <f>LEFT(D699,3)&amp;"-"&amp;TEXT(VALUE(RIGHT(D699,3))+1,"000")</f>
        <v>DAR-003</v>
      </c>
      <c r="E707" s="34" t="s">
        <v>85</v>
      </c>
      <c r="F707" s="35" t="str">
        <f>IFERROR(TRIM(IF(VLOOKUP($D707,'3. 요건기술서 전체'!$B:$L,10,0)&lt;&gt;"",IF(VLOOKUP($D707,'3. 요건기술서 전체'!$B:$L,10,0)="O", "한난O", IF(VLOOKUP($D707,'3. 요건기술서 전체'!$B:$L,10,0)="X", "한난X", "")),"") &amp; " " &amp;IF(VLOOKUP($D707,'3. 요건기술서 전체'!$B:$L,11,0)&lt;&gt;"",IF(VLOOKUP($D707,'3. 요건기술서 전체'!$B:$L,11,0)="O", "외부O", IF(VLOOKUP($D707,'3. 요건기술서 전체'!$B:$L,11,0)="X", "외부X", "")),"")),"")</f>
        <v/>
      </c>
      <c r="H707" s="44" t="s">
        <v>436</v>
      </c>
    </row>
    <row r="708" spans="2:8" x14ac:dyDescent="0.3">
      <c r="B708" s="94" t="s">
        <v>43</v>
      </c>
      <c r="C708" s="95"/>
      <c r="D708" s="85" t="str">
        <f>VLOOKUP($D707,'3. 요건기술서 전체'!$B:$L,5,0)</f>
        <v xml:space="preserve"> 데이터 구조 설계</v>
      </c>
      <c r="E708" s="86"/>
      <c r="F708" s="87"/>
      <c r="H708" s="36" t="s">
        <v>650</v>
      </c>
    </row>
    <row r="709" spans="2:8" x14ac:dyDescent="0.3">
      <c r="B709" s="98" t="s">
        <v>44</v>
      </c>
      <c r="C709" s="43" t="s">
        <v>45</v>
      </c>
      <c r="D709" s="85" t="str">
        <f>VLOOKUP($D707,'3. 요건기술서 전체'!$B:$L,7,0)</f>
        <v xml:space="preserve"> 데이터 구조설계 원칙</v>
      </c>
      <c r="E709" s="86"/>
      <c r="F709" s="87"/>
      <c r="H709" s="36" t="s">
        <v>652</v>
      </c>
    </row>
    <row r="710" spans="2:8" ht="89.25" x14ac:dyDescent="0.3">
      <c r="B710" s="98"/>
      <c r="C710" s="43" t="s">
        <v>46</v>
      </c>
      <c r="D710" s="85" t="str">
        <f>VLOOKUP($D707,'3. 요건기술서 전체'!$B:$L,8,0)</f>
        <v>○ 데이터 구조 설계 기준 제시
  - 데이터 구조 설계(모델링) 기준을 제시하고 이를 준수하여 데이터 구조를 설계, 구현하여야 함
○ 데이터 주제영역 정의 및 개념·논리·물리 모델 설계
  - 데이터 활용, 업무요건 변화, 시스템 변경 등으로 인한 DB의 구조적 변화가 최소화될 수 있도록 유연한 구조로 설계하여야 함
  - 업무규칙(BR) 처리를 위한 데이터 주제영역, 개념 데이터 모델, 논리 데이터 모델, 물리 데이터 모델이 설계되어야 함
  - 데이터 설계 표준(데이터 분류체계, 명명 규칙, DB Object 사용기준 등)을 정의하고 적용하여야 함
  - 공사 내 표준관리시스템(SMETA)을 이용하여 테이블, 컬럼 정의서를 업로드하여야 함</v>
      </c>
      <c r="E710" s="86"/>
      <c r="F710" s="87"/>
      <c r="H710" s="37" t="s">
        <v>766</v>
      </c>
    </row>
    <row r="711" spans="2:8" ht="25.5" x14ac:dyDescent="0.3">
      <c r="B711" s="90" t="s">
        <v>98</v>
      </c>
      <c r="C711" s="91"/>
      <c r="D711" s="38" t="str">
        <f>VLOOKUP($D707,'3. 요건기술서 전체'!$B:$L,9,0)</f>
        <v>데이터베이스정의서, 엔터티(개체)정의서, 애트리뷰트(속성)정의서, 데이터모델다이어그램정의서(개념·논리·물리), 테이블정의서(SMETA 활용), 컬럼정의서(SMETA 활용)</v>
      </c>
      <c r="E711" s="39"/>
      <c r="F711" s="40"/>
      <c r="H711" s="37" t="s">
        <v>1091</v>
      </c>
    </row>
    <row r="712" spans="2:8" ht="15.75" thickBot="1" x14ac:dyDescent="0.35">
      <c r="B712" s="92" t="s">
        <v>47</v>
      </c>
      <c r="C712" s="93"/>
      <c r="D712" s="99" t="str">
        <f>VLOOKUP($D707,'3. 요건기술서 전체'!$B:$L,2,0)</f>
        <v>DAR-004</v>
      </c>
      <c r="E712" s="100"/>
      <c r="F712" s="101"/>
      <c r="H712" s="37" t="s">
        <v>437</v>
      </c>
    </row>
    <row r="713" spans="2:8" ht="15.75" thickBot="1" x14ac:dyDescent="0.35">
      <c r="H713" s="37"/>
    </row>
    <row r="714" spans="2:8" x14ac:dyDescent="0.3">
      <c r="B714" s="96" t="s">
        <v>41</v>
      </c>
      <c r="C714" s="97"/>
      <c r="D714" s="30" t="str">
        <f>D706</f>
        <v>데이터 요구사항</v>
      </c>
      <c r="E714" s="31" t="s">
        <v>131</v>
      </c>
      <c r="F714" s="32" t="str">
        <f>VLOOKUP($D715,'3. 요건기술서 전체'!$B:$L,6,0)</f>
        <v>필수</v>
      </c>
      <c r="H714" s="44" t="s">
        <v>692</v>
      </c>
    </row>
    <row r="715" spans="2:8" x14ac:dyDescent="0.3">
      <c r="B715" s="94" t="s">
        <v>42</v>
      </c>
      <c r="C715" s="95"/>
      <c r="D715" s="33" t="str">
        <f>LEFT(D707,3)&amp;"-"&amp;TEXT(VALUE(RIGHT(D707,3))+1,"000")</f>
        <v>DAR-004</v>
      </c>
      <c r="E715" s="34" t="s">
        <v>85</v>
      </c>
      <c r="F715" s="35" t="str">
        <f>IFERROR(TRIM(IF(VLOOKUP($D715,'3. 요건기술서 전체'!$B:$L,10,0)&lt;&gt;"",IF(VLOOKUP($D715,'3. 요건기술서 전체'!$B:$L,10,0)="O", "한난O", IF(VLOOKUP($D715,'3. 요건기술서 전체'!$B:$L,10,0)="X", "한난X", "")),"") &amp; " " &amp;IF(VLOOKUP($D715,'3. 요건기술서 전체'!$B:$L,11,0)&lt;&gt;"",IF(VLOOKUP($D715,'3. 요건기술서 전체'!$B:$L,11,0)="O", "외부O", IF(VLOOKUP($D715,'3. 요건기술서 전체'!$B:$L,11,0)="X", "외부X", "")),"")),"")</f>
        <v/>
      </c>
      <c r="H715" s="36" t="s">
        <v>437</v>
      </c>
    </row>
    <row r="716" spans="2:8" x14ac:dyDescent="0.3">
      <c r="B716" s="94" t="s">
        <v>43</v>
      </c>
      <c r="C716" s="95"/>
      <c r="D716" s="85" t="str">
        <f>VLOOKUP($D715,'3. 요건기술서 전체'!$B:$L,5,0)</f>
        <v xml:space="preserve"> 데이터 구조 검증</v>
      </c>
      <c r="E716" s="86"/>
      <c r="F716" s="87"/>
      <c r="H716" s="36" t="s">
        <v>654</v>
      </c>
    </row>
    <row r="717" spans="2:8" x14ac:dyDescent="0.3">
      <c r="B717" s="98" t="s">
        <v>44</v>
      </c>
      <c r="C717" s="43" t="s">
        <v>45</v>
      </c>
      <c r="D717" s="85" t="str">
        <f>VLOOKUP($D715,'3. 요건기술서 전체'!$B:$L,7,0)</f>
        <v xml:space="preserve"> 데이터 모델 검증</v>
      </c>
      <c r="E717" s="86"/>
      <c r="F717" s="87"/>
      <c r="H717" s="37" t="s">
        <v>656</v>
      </c>
    </row>
    <row r="718" spans="2:8" ht="102" x14ac:dyDescent="0.3">
      <c r="B718" s="98"/>
      <c r="C718" s="43" t="s">
        <v>46</v>
      </c>
      <c r="D718" s="85" t="str">
        <f>VLOOKUP($D715,'3. 요건기술서 전체'!$B:$L,8,0)</f>
        <v>○ 데이터 모델 검증 
 - 설계된 데이터 모델은 설계자 · 개발자 · 발주기관 · 전문가 등이 참여하여 검증하여야 함
 - 각 단계별 데이터 모델 검증 시 기준을 정의하고 실시하여야 함
   예) 논리데이터 모델 검증 기준
     : 요구사항 대비 논리 모델의 완전성(논리데이터 모델이 비즈니스 요구사항의 누락 여부)
     : 정규화 충족 여부
   예) 물리데이터 모델 검증 기준
     : 중복 테이블 여부, 중복 컬럼 여부, 반정규화된 중복 데이터 정합성 유지 방안 여부</v>
      </c>
      <c r="E718" s="86"/>
      <c r="F718" s="87"/>
      <c r="H718" s="37" t="s">
        <v>767</v>
      </c>
    </row>
    <row r="719" spans="2:8" x14ac:dyDescent="0.3">
      <c r="B719" s="90" t="s">
        <v>98</v>
      </c>
      <c r="C719" s="91"/>
      <c r="D719" s="38" t="str">
        <f>VLOOKUP($D715,'3. 요건기술서 전체'!$B:$L,9,0)</f>
        <v>데이터 모델 검증 계획·결과</v>
      </c>
      <c r="E719" s="39"/>
      <c r="F719" s="40"/>
      <c r="H719" s="37" t="s">
        <v>693</v>
      </c>
    </row>
    <row r="720" spans="2:8" ht="15.75" thickBot="1" x14ac:dyDescent="0.35">
      <c r="B720" s="92" t="s">
        <v>47</v>
      </c>
      <c r="C720" s="93"/>
      <c r="D720" s="99" t="str">
        <f>VLOOKUP($D715,'3. 요건기술서 전체'!$B:$L,2,0)</f>
        <v>DAR-002</v>
      </c>
      <c r="E720" s="100"/>
      <c r="F720" s="101"/>
      <c r="H720" s="37" t="s">
        <v>434</v>
      </c>
    </row>
    <row r="721" spans="2:8" ht="15.75" thickBot="1" x14ac:dyDescent="0.35"/>
    <row r="722" spans="2:8" x14ac:dyDescent="0.3">
      <c r="B722" s="96" t="s">
        <v>41</v>
      </c>
      <c r="C722" s="97"/>
      <c r="D722" s="30" t="str">
        <f>D714</f>
        <v>데이터 요구사항</v>
      </c>
      <c r="E722" s="31" t="s">
        <v>131</v>
      </c>
      <c r="F722" s="32" t="str">
        <f>VLOOKUP($D723,'3. 요건기술서 전체'!$B:$L,6,0)</f>
        <v>필수</v>
      </c>
      <c r="H722" s="36" t="s">
        <v>692</v>
      </c>
    </row>
    <row r="723" spans="2:8" x14ac:dyDescent="0.3">
      <c r="B723" s="94" t="s">
        <v>42</v>
      </c>
      <c r="C723" s="95"/>
      <c r="D723" s="33" t="str">
        <f>LEFT(D715,3)&amp;"-"&amp;TEXT(VALUE(RIGHT(D715,3))+1,"000")</f>
        <v>DAR-005</v>
      </c>
      <c r="E723" s="34" t="s">
        <v>85</v>
      </c>
      <c r="F723" s="35" t="str">
        <f>IFERROR(TRIM(IF(VLOOKUP($D723,'3. 요건기술서 전체'!$B:$L,10,0)&lt;&gt;"",IF(VLOOKUP($D723,'3. 요건기술서 전체'!$B:$L,10,0)="O", "한난O", IF(VLOOKUP($D723,'3. 요건기술서 전체'!$B:$L,10,0)="X", "한난X", "")),"") &amp; " " &amp;IF(VLOOKUP($D723,'3. 요건기술서 전체'!$B:$L,11,0)&lt;&gt;"",IF(VLOOKUP($D723,'3. 요건기술서 전체'!$B:$L,11,0)="O", "외부O", IF(VLOOKUP($D723,'3. 요건기술서 전체'!$B:$L,11,0)="X", "외부X", "")),"")),"")</f>
        <v/>
      </c>
      <c r="H723" s="36" t="s">
        <v>680</v>
      </c>
    </row>
    <row r="724" spans="2:8" x14ac:dyDescent="0.3">
      <c r="B724" s="94" t="s">
        <v>43</v>
      </c>
      <c r="C724" s="95"/>
      <c r="D724" s="85" t="str">
        <f>VLOOKUP($D723,'3. 요건기술서 전체'!$B:$L,5,0)</f>
        <v xml:space="preserve"> 데이터 구조 관리</v>
      </c>
      <c r="E724" s="86"/>
      <c r="F724" s="87"/>
      <c r="H724" s="37" t="s">
        <v>658</v>
      </c>
    </row>
    <row r="725" spans="2:8" x14ac:dyDescent="0.3">
      <c r="B725" s="98" t="s">
        <v>44</v>
      </c>
      <c r="C725" s="43" t="s">
        <v>45</v>
      </c>
      <c r="D725" s="85" t="str">
        <f>VLOOKUP($D723,'3. 요건기술서 전체'!$B:$L,7,0)</f>
        <v xml:space="preserve"> 데이터 구조 관리 방안</v>
      </c>
      <c r="E725" s="86"/>
      <c r="F725" s="87"/>
      <c r="H725" s="37" t="s">
        <v>660</v>
      </c>
    </row>
    <row r="726" spans="2:8" ht="51" x14ac:dyDescent="0.3">
      <c r="B726" s="98"/>
      <c r="C726" s="43" t="s">
        <v>46</v>
      </c>
      <c r="D726" s="85" t="str">
        <f>VLOOKUP($D723,'3. 요건기술서 전체'!$B:$L,8,0)</f>
        <v>○ 데이터 구조 관리 방안 제시
  - 공사 관리 기준을 적용하여 관리방안 제시
  - 시스템 구축기간 동안 데이터 구조 관리를 위한 방안(변경이력 포함)을 제시하고 DB의 형상과 물리데이터 모델의 형상 일치 여부를 주기적으로 점검하여야 함</v>
      </c>
      <c r="E726" s="86"/>
      <c r="F726" s="87"/>
      <c r="H726" s="37" t="s">
        <v>768</v>
      </c>
    </row>
    <row r="727" spans="2:8" x14ac:dyDescent="0.3">
      <c r="B727" s="90" t="s">
        <v>98</v>
      </c>
      <c r="C727" s="91"/>
      <c r="D727" s="38" t="str">
        <f>VLOOKUP($D723,'3. 요건기술서 전체'!$B:$L,9,0)</f>
        <v>데이터 구조관리 방안(매뉴얼, 가이드 등)</v>
      </c>
      <c r="E727" s="39"/>
      <c r="F727" s="40"/>
      <c r="H727" s="37" t="s">
        <v>662</v>
      </c>
    </row>
    <row r="728" spans="2:8" ht="15.75" thickBot="1" x14ac:dyDescent="0.35">
      <c r="B728" s="92" t="s">
        <v>47</v>
      </c>
      <c r="C728" s="93"/>
      <c r="D728" s="99" t="str">
        <f>VLOOKUP($D723,'3. 요건기술서 전체'!$B:$L,2,0)</f>
        <v>DAR-002</v>
      </c>
      <c r="E728" s="100"/>
      <c r="F728" s="101"/>
      <c r="H728" s="44" t="s">
        <v>434</v>
      </c>
    </row>
    <row r="729" spans="2:8" ht="15.75" thickBot="1" x14ac:dyDescent="0.35">
      <c r="H729" s="36"/>
    </row>
    <row r="730" spans="2:8" x14ac:dyDescent="0.3">
      <c r="B730" s="96" t="s">
        <v>41</v>
      </c>
      <c r="C730" s="97"/>
      <c r="D730" s="30" t="str">
        <f>D722</f>
        <v>데이터 요구사항</v>
      </c>
      <c r="E730" s="31" t="s">
        <v>131</v>
      </c>
      <c r="F730" s="32" t="str">
        <f>VLOOKUP($D731,'3. 요건기술서 전체'!$B:$L,6,0)</f>
        <v>필수</v>
      </c>
      <c r="H730" s="36" t="s">
        <v>692</v>
      </c>
    </row>
    <row r="731" spans="2:8" x14ac:dyDescent="0.3">
      <c r="B731" s="94" t="s">
        <v>42</v>
      </c>
      <c r="C731" s="95"/>
      <c r="D731" s="33" t="str">
        <f>LEFT(D723,3)&amp;"-"&amp;TEXT(VALUE(RIGHT(D723,3))+1,"000")</f>
        <v>DAR-006</v>
      </c>
      <c r="E731" s="34" t="s">
        <v>85</v>
      </c>
      <c r="F731" s="35" t="str">
        <f>IFERROR(TRIM(IF(VLOOKUP($D731,'3. 요건기술서 전체'!$B:$L,10,0)&lt;&gt;"",IF(VLOOKUP($D731,'3. 요건기술서 전체'!$B:$L,10,0)="O", "한난O", IF(VLOOKUP($D731,'3. 요건기술서 전체'!$B:$L,10,0)="X", "한난X", "")),"") &amp; " " &amp;IF(VLOOKUP($D731,'3. 요건기술서 전체'!$B:$L,11,0)&lt;&gt;"",IF(VLOOKUP($D731,'3. 요건기술서 전체'!$B:$L,11,0)="O", "외부O", IF(VLOOKUP($D731,'3. 요건기술서 전체'!$B:$L,11,0)="X", "외부X", "")),"")),"")</f>
        <v/>
      </c>
      <c r="H731" s="37" t="s">
        <v>681</v>
      </c>
    </row>
    <row r="732" spans="2:8" x14ac:dyDescent="0.3">
      <c r="B732" s="94" t="s">
        <v>43</v>
      </c>
      <c r="C732" s="95"/>
      <c r="D732" s="85" t="str">
        <f>VLOOKUP($D731,'3. 요건기술서 전체'!$B:$L,5,0)</f>
        <v xml:space="preserve"> 데이터 값 검증</v>
      </c>
      <c r="E732" s="86"/>
      <c r="F732" s="87"/>
      <c r="H732" s="37" t="s">
        <v>664</v>
      </c>
    </row>
    <row r="733" spans="2:8" x14ac:dyDescent="0.3">
      <c r="B733" s="98" t="s">
        <v>44</v>
      </c>
      <c r="C733" s="43" t="s">
        <v>45</v>
      </c>
      <c r="D733" s="85" t="str">
        <f>VLOOKUP($D731,'3. 요건기술서 전체'!$B:$L,7,0)</f>
        <v xml:space="preserve"> 데이터 값 검증 방안</v>
      </c>
      <c r="E733" s="86"/>
      <c r="F733" s="87"/>
      <c r="H733" s="37" t="s">
        <v>666</v>
      </c>
    </row>
    <row r="734" spans="2:8" ht="127.5" x14ac:dyDescent="0.3">
      <c r="B734" s="98"/>
      <c r="C734" s="43" t="s">
        <v>46</v>
      </c>
      <c r="D734" s="85" t="str">
        <f>VLOOKUP($D731,'3. 요건기술서 전체'!$B:$L,8,0)</f>
        <v>○ 데이터 값 진단 계획 수립  
  - 데이터 값 검증 범위(전체 또는 일부), 시기, 방법을 사업 계획에 명시하여야 함
○ 데이터 값 진단 수행 및 검증 (공사 내 SDQ 이용)
  - 목표시스템에 추가되는 데이터의 특성을 분석하고, 대상 DB(시스템)의 구축·운영 근거(법령, 규정, 규칙, 매뉴얼 등)을 참고하여 데이터 특성에 부합하는 업무규칙(BR)을 정의하여야 함
  - 공공데이터 범정부 품질진단 기준* 및 업무규칙(BR)에 따라 값 검증을 수행하여야 함
   * 공공데이터 품질관리 매뉴얼 참고
  - 데이터 값 검증 결과에 따른 오류데이터를 개선하고, 오류로 인한 영향도, 오류유형별 조치 방법 등을 관리하여야 함
  - 반복적으로 발생하는 동일 오류가 있는 경우 재발 방지 방안을 제시하여야 함
  - 오류 데이터 입력 방지(사전검증) 방안을 제시하여야 함</v>
      </c>
      <c r="E734" s="86"/>
      <c r="F734" s="87"/>
      <c r="H734" s="37" t="s">
        <v>769</v>
      </c>
    </row>
    <row r="735" spans="2:8" ht="25.5" x14ac:dyDescent="0.3">
      <c r="B735" s="90" t="s">
        <v>98</v>
      </c>
      <c r="C735" s="91"/>
      <c r="D735" s="38" t="str">
        <f>VLOOKUP($D731,'3. 요건기술서 전체'!$B:$L,9,0)</f>
        <v>데이터 값 진단 계획·결과, 업무규칙 정의서
값진단 결과서 및 업무규칙 정의서는 SDQ를 이용한 결과 제출</v>
      </c>
      <c r="E735" s="39"/>
      <c r="F735" s="40"/>
      <c r="H735" s="44" t="s">
        <v>694</v>
      </c>
    </row>
    <row r="736" spans="2:8" ht="15.75" thickBot="1" x14ac:dyDescent="0.35">
      <c r="B736" s="92" t="s">
        <v>47</v>
      </c>
      <c r="C736" s="93"/>
      <c r="D736" s="99">
        <f>VLOOKUP($D731,'3. 요건기술서 전체'!$B:$L,2,0)</f>
        <v>0</v>
      </c>
      <c r="E736" s="100"/>
      <c r="F736" s="101"/>
      <c r="H736" s="36">
        <v>0</v>
      </c>
    </row>
    <row r="737" spans="2:8" ht="15.75" thickBot="1" x14ac:dyDescent="0.35">
      <c r="H737" s="36"/>
    </row>
    <row r="738" spans="2:8" x14ac:dyDescent="0.3">
      <c r="B738" s="96" t="s">
        <v>41</v>
      </c>
      <c r="C738" s="97"/>
      <c r="D738" s="30" t="str">
        <f>D730</f>
        <v>데이터 요구사항</v>
      </c>
      <c r="E738" s="31" t="s">
        <v>131</v>
      </c>
      <c r="F738" s="32" t="str">
        <f>VLOOKUP($D739,'3. 요건기술서 전체'!$B:$L,6,0)</f>
        <v>필수</v>
      </c>
      <c r="H738" s="37" t="s">
        <v>692</v>
      </c>
    </row>
    <row r="739" spans="2:8" x14ac:dyDescent="0.3">
      <c r="B739" s="94" t="s">
        <v>42</v>
      </c>
      <c r="C739" s="95"/>
      <c r="D739" s="33" t="str">
        <f>LEFT(D731,3)&amp;"-"&amp;TEXT(VALUE(RIGHT(D731,3))+1,"000")</f>
        <v>DAR-007</v>
      </c>
      <c r="E739" s="34" t="s">
        <v>85</v>
      </c>
      <c r="F739" s="35" t="str">
        <f>IFERROR(TRIM(IF(VLOOKUP($D739,'3. 요건기술서 전체'!$B:$L,10,0)&lt;&gt;"",IF(VLOOKUP($D739,'3. 요건기술서 전체'!$B:$L,10,0)="O", "한난O", IF(VLOOKUP($D739,'3. 요건기술서 전체'!$B:$L,10,0)="X", "한난X", "")),"") &amp; " " &amp;IF(VLOOKUP($D739,'3. 요건기술서 전체'!$B:$L,11,0)&lt;&gt;"",IF(VLOOKUP($D739,'3. 요건기술서 전체'!$B:$L,11,0)="O", "외부O", IF(VLOOKUP($D739,'3. 요건기술서 전체'!$B:$L,11,0)="X", "외부X", "")),"")),"")</f>
        <v/>
      </c>
      <c r="H739" s="37" t="s">
        <v>682</v>
      </c>
    </row>
    <row r="740" spans="2:8" x14ac:dyDescent="0.3">
      <c r="B740" s="94" t="s">
        <v>43</v>
      </c>
      <c r="C740" s="95"/>
      <c r="D740" s="85" t="str">
        <f>VLOOKUP($D739,'3. 요건기술서 전체'!$B:$L,5,0)</f>
        <v xml:space="preserve"> 이관 데이터 값 검증</v>
      </c>
      <c r="E740" s="86"/>
      <c r="F740" s="87"/>
      <c r="H740" s="37" t="s">
        <v>668</v>
      </c>
    </row>
    <row r="741" spans="2:8" x14ac:dyDescent="0.3">
      <c r="B741" s="98" t="s">
        <v>44</v>
      </c>
      <c r="C741" s="43" t="s">
        <v>45</v>
      </c>
      <c r="D741" s="85" t="str">
        <f>VLOOKUP($D739,'3. 요건기술서 전체'!$B:$L,7,0)</f>
        <v xml:space="preserve"> 목표 시스템으로 데이터 이관</v>
      </c>
      <c r="E741" s="86"/>
      <c r="F741" s="87"/>
      <c r="H741" s="37" t="s">
        <v>670</v>
      </c>
    </row>
    <row r="742" spans="2:8" ht="191.25" x14ac:dyDescent="0.3">
      <c r="B742" s="98"/>
      <c r="C742" s="43" t="s">
        <v>46</v>
      </c>
      <c r="D742" s="85" t="str">
        <f>VLOOKUP($D739,'3. 요건기술서 전체'!$B:$L,8,0)</f>
        <v>○ 데이터 이관 계획 수립
  - 정보시스템의 데이터 특성을 고려하여 데이터 이관 방안(범위, 절차, 시기, 환경, 순서, 전략 등)을 계획하여야 함
    * 이관 우선순위 : 코드 데이터 이관 후 트랜잭션 데이터 이관 등
    ** 이관 방식 : 일괄 이관 또는 점진적 이관 등
  - 이관 데이터 GAP 분석과 데이터 매핑의 정의, 데이터 정제 및 백업과 복구 방안 수립에 대한 산출물을 포함하여야 함
  - 민감 데이터(개인정보 등)에 대한 정보보호 확보방안을 포함하여야 함
○ 이관 데이터 정제방안 수립
  - 원천 데이터 정제작업 수행 시 이관 데이터 정제작업에 대한 내용을 포함해야 함
    * 원천 데이터 정제방안 : 수작업, 데이터 매핑을 통한 규칙 적용, 프로그래밍 등
    ** 이관 데이터 정제방안 : 건별 수작업, 수정삭제재생성 등
○ 이관 데이터 정합성 검증
  - 여러 차례의 단계별 테스트를 수행하여 이관 작업 간 발생할 수 있는 모든 위험 요소를 발견·제거하고 이관 작업을 수행하여야 함
  - 매핑 정의서의 매핑 규칙에 맞게 이관되었는지 검증하여야 함
  - 기존 시스템의 값과 목표시스템의 값에 대한 정합성을 검증하여야 함
  - 단계별 이관 데이터 정합성 검증을 통하여 목표시스템 데이터의 무결성 보장방안을 제시하여야 함</v>
      </c>
      <c r="E742" s="86"/>
      <c r="F742" s="87"/>
      <c r="H742" s="44" t="s">
        <v>1092</v>
      </c>
    </row>
    <row r="743" spans="2:8" x14ac:dyDescent="0.3">
      <c r="B743" s="90" t="s">
        <v>98</v>
      </c>
      <c r="C743" s="91"/>
      <c r="D743" s="38" t="str">
        <f>VLOOKUP($D739,'3. 요건기술서 전체'!$B:$L,9,0)</f>
        <v>이관 데이터 검증 계획·결과</v>
      </c>
      <c r="E743" s="39"/>
      <c r="F743" s="40"/>
      <c r="H743" s="36" t="s">
        <v>695</v>
      </c>
    </row>
    <row r="744" spans="2:8" ht="15.75" thickBot="1" x14ac:dyDescent="0.35">
      <c r="B744" s="92" t="s">
        <v>47</v>
      </c>
      <c r="C744" s="93"/>
      <c r="D744" s="99">
        <f>VLOOKUP($D739,'3. 요건기술서 전체'!$B:$L,2,0)</f>
        <v>0</v>
      </c>
      <c r="E744" s="100"/>
      <c r="F744" s="101"/>
      <c r="H744" s="36">
        <v>0</v>
      </c>
    </row>
    <row r="745" spans="2:8" ht="15.75" thickBot="1" x14ac:dyDescent="0.35">
      <c r="H745" s="37"/>
    </row>
    <row r="746" spans="2:8" x14ac:dyDescent="0.3">
      <c r="B746" s="96" t="s">
        <v>41</v>
      </c>
      <c r="C746" s="97"/>
      <c r="D746" s="30" t="str">
        <f>D738</f>
        <v>데이터 요구사항</v>
      </c>
      <c r="E746" s="31" t="s">
        <v>131</v>
      </c>
      <c r="F746" s="32" t="str">
        <f>VLOOKUP($D747,'3. 요건기술서 전체'!$B:$L,6,0)</f>
        <v>필수</v>
      </c>
      <c r="H746" s="37" t="s">
        <v>692</v>
      </c>
    </row>
    <row r="747" spans="2:8" x14ac:dyDescent="0.3">
      <c r="B747" s="94" t="s">
        <v>42</v>
      </c>
      <c r="C747" s="95"/>
      <c r="D747" s="33" t="str">
        <f>LEFT(D739,3)&amp;"-"&amp;TEXT(VALUE(RIGHT(D739,3))+1,"000")</f>
        <v>DAR-008</v>
      </c>
      <c r="E747" s="34" t="s">
        <v>85</v>
      </c>
      <c r="F747" s="35" t="str">
        <f>IFERROR(TRIM(IF(VLOOKUP($D747,'3. 요건기술서 전체'!$B:$L,10,0)&lt;&gt;"",IF(VLOOKUP($D747,'3. 요건기술서 전체'!$B:$L,10,0)="O", "한난O", IF(VLOOKUP($D747,'3. 요건기술서 전체'!$B:$L,10,0)="X", "한난X", "")),"") &amp; " " &amp;IF(VLOOKUP($D747,'3. 요건기술서 전체'!$B:$L,11,0)&lt;&gt;"",IF(VLOOKUP($D747,'3. 요건기술서 전체'!$B:$L,11,0)="O", "외부O", IF(VLOOKUP($D747,'3. 요건기술서 전체'!$B:$L,11,0)="X", "외부X", "")),"")),"")</f>
        <v/>
      </c>
      <c r="H747" s="37" t="s">
        <v>683</v>
      </c>
    </row>
    <row r="748" spans="2:8" x14ac:dyDescent="0.3">
      <c r="B748" s="94" t="s">
        <v>43</v>
      </c>
      <c r="C748" s="95"/>
      <c r="D748" s="85" t="str">
        <f>VLOOKUP($D747,'3. 요건기술서 전체'!$B:$L,5,0)</f>
        <v xml:space="preserve"> 데이터 관리체계 수립</v>
      </c>
      <c r="E748" s="86"/>
      <c r="F748" s="87"/>
      <c r="H748" s="37" t="s">
        <v>672</v>
      </c>
    </row>
    <row r="749" spans="2:8" x14ac:dyDescent="0.3">
      <c r="B749" s="98" t="s">
        <v>44</v>
      </c>
      <c r="C749" s="43" t="s">
        <v>45</v>
      </c>
      <c r="D749" s="85" t="str">
        <f>VLOOKUP($D747,'3. 요건기술서 전체'!$B:$L,7,0)</f>
        <v xml:space="preserve"> 데이터 관리체계 수립</v>
      </c>
      <c r="E749" s="86"/>
      <c r="F749" s="87"/>
      <c r="H749" s="44" t="s">
        <v>672</v>
      </c>
    </row>
    <row r="750" spans="2:8" ht="165.75" x14ac:dyDescent="0.3">
      <c r="B750" s="98"/>
      <c r="C750" s="43" t="s">
        <v>46</v>
      </c>
      <c r="D750" s="85" t="str">
        <f>VLOOKUP($D747,'3. 요건기술서 전체'!$B:$L,8,0)</f>
        <v>○ 운영단계까지 지속적으로 적용가능한 데이터 관리체계 정의 (공사 기준 준용)
 - 데이터 표준, 구조, 값 등 데이터 핵심 요소의 지속적인 관리를 위한 조직과 역할을 정의하여야 함
 - DB표준(단어 · 용어 · 도메인 · 코드)의 추가, 변경, 삭제 절차를 수립하여야 함
 - 데이터 구조(논리 · 물리)와 관련된 추가, 변경, 삭제 절차를 수립하여야 함
 - 관리체계에는 표준 준수율, 구조 현행화율, 값 검증 오류율 등 명확한 관리기준을 제시하여야 함
(사업범위에 연계 데이터가 없는 경우 하단의 요구사항 생략 가능)
○ 연계데이터 관리방안 제시
  - 제공기관 및 활용기관 간 연계데이터의 정합성이 유지되도록 방안을 제시하고 구축하여야 함
  - 연계데이터 목록을 정의*하고 관리 방안을 제시하여야 함
   * 연계 정보(송·수신 구분, 정보명, 주기), 연계 항목(항목명, 설명, 데이터 타입, 길이), 항목 출처(DB, 테이블, 컬럼명), 제공기관, 활용기관 등
  - 연계데이터를 제공 및 활용하는 기관 상호 간의 데이터 품질 확보를 위해 연계표준이나 기준 등을 협의하고, 정기적인 연계데이터 정합성 검증을 수행하여야 함</v>
      </c>
      <c r="E750" s="86"/>
      <c r="F750" s="87"/>
      <c r="H750" s="36" t="s">
        <v>770</v>
      </c>
    </row>
    <row r="751" spans="2:8" x14ac:dyDescent="0.3">
      <c r="B751" s="90" t="s">
        <v>98</v>
      </c>
      <c r="C751" s="91"/>
      <c r="D751" s="38" t="str">
        <f>VLOOKUP($D747,'3. 요건기술서 전체'!$B:$L,9,0)</f>
        <v>데이터(표준, 구조, 값) 관리 매뉴얼, 연계 데이터 관리 매뉴얼, 연계데이터 정의서</v>
      </c>
      <c r="E751" s="39"/>
      <c r="F751" s="40"/>
      <c r="H751" s="36" t="s">
        <v>674</v>
      </c>
    </row>
    <row r="752" spans="2:8" ht="15.75" thickBot="1" x14ac:dyDescent="0.35">
      <c r="B752" s="92" t="s">
        <v>47</v>
      </c>
      <c r="C752" s="93"/>
      <c r="D752" s="99">
        <f>VLOOKUP($D747,'3. 요건기술서 전체'!$B:$L,2,0)</f>
        <v>0</v>
      </c>
      <c r="E752" s="100"/>
      <c r="F752" s="101"/>
      <c r="H752" s="37">
        <v>0</v>
      </c>
    </row>
    <row r="753" spans="2:8" ht="15.75" thickBot="1" x14ac:dyDescent="0.35">
      <c r="H753" s="37"/>
    </row>
    <row r="754" spans="2:8" x14ac:dyDescent="0.3">
      <c r="B754" s="96" t="s">
        <v>41</v>
      </c>
      <c r="C754" s="97"/>
      <c r="D754" s="30" t="str">
        <f>D746</f>
        <v>데이터 요구사항</v>
      </c>
      <c r="E754" s="31" t="s">
        <v>131</v>
      </c>
      <c r="F754" s="32" t="str">
        <f>VLOOKUP($D755,'3. 요건기술서 전체'!$B:$L,6,0)</f>
        <v>필수</v>
      </c>
      <c r="H754" s="37" t="s">
        <v>692</v>
      </c>
    </row>
    <row r="755" spans="2:8" x14ac:dyDescent="0.3">
      <c r="B755" s="94" t="s">
        <v>42</v>
      </c>
      <c r="C755" s="95"/>
      <c r="D755" s="33" t="str">
        <f>LEFT(D747,3)&amp;"-"&amp;TEXT(VALUE(RIGHT(D747,3))+1,"000")</f>
        <v>DAR-009</v>
      </c>
      <c r="E755" s="34" t="s">
        <v>85</v>
      </c>
      <c r="F755" s="35" t="str">
        <f>IFERROR(TRIM(IF(VLOOKUP($D755,'3. 요건기술서 전체'!$B:$L,10,0)&lt;&gt;"",IF(VLOOKUP($D755,'3. 요건기술서 전체'!$B:$L,10,0)="O", "한난O", IF(VLOOKUP($D755,'3. 요건기술서 전체'!$B:$L,10,0)="X", "한난X", "")),"") &amp; " " &amp;IF(VLOOKUP($D755,'3. 요건기술서 전체'!$B:$L,11,0)&lt;&gt;"",IF(VLOOKUP($D755,'3. 요건기술서 전체'!$B:$L,11,0)="O", "외부O", IF(VLOOKUP($D755,'3. 요건기술서 전체'!$B:$L,11,0)="X", "외부X", "")),"")),"")</f>
        <v/>
      </c>
      <c r="H755" s="37" t="s">
        <v>684</v>
      </c>
    </row>
    <row r="756" spans="2:8" x14ac:dyDescent="0.3">
      <c r="B756" s="94" t="s">
        <v>43</v>
      </c>
      <c r="C756" s="95"/>
      <c r="D756" s="85" t="str">
        <f>VLOOKUP($D755,'3. 요건기술서 전체'!$B:$L,5,0)</f>
        <v>데이터 개방 및 메타데이터 관리체계</v>
      </c>
      <c r="E756" s="86"/>
      <c r="F756" s="87"/>
      <c r="H756" s="44" t="s">
        <v>676</v>
      </c>
    </row>
    <row r="757" spans="2:8" x14ac:dyDescent="0.3">
      <c r="B757" s="98" t="s">
        <v>44</v>
      </c>
      <c r="C757" s="43" t="s">
        <v>45</v>
      </c>
      <c r="D757" s="85" t="str">
        <f>VLOOKUP($D755,'3. 요건기술서 전체'!$B:$L,7,0)</f>
        <v>개방데이터 서비스 연속성 확보 및 메타데이터 현행화</v>
      </c>
      <c r="E757" s="86"/>
      <c r="F757" s="87"/>
      <c r="H757" s="36" t="s">
        <v>678</v>
      </c>
    </row>
    <row r="758" spans="2:8" ht="89.25" x14ac:dyDescent="0.3">
      <c r="B758" s="98"/>
      <c r="C758" s="43" t="s">
        <v>46</v>
      </c>
      <c r="D758" s="85" t="str">
        <f>VLOOKUP($D755,'3. 요건기술서 전체'!$B:$L,8,0)</f>
        <v>○ 메타데이터 현행화 (기관메타 업로드)
 - 목표시스템의 메타데이터 표준 관리 항목이 발주기관의 메타데이터 관리시스템과 중앙 메타데이터 관리시스템에 등록 및 현행화 되도록 지원하여야 함
  ※ 발주기관에서 운영 중인 메타데이터 관리시스템이 없는 경우 문서,파일 등으로 메타데이터 항목을 작성하여 제출하여야 함 
(개방 가능 데이터가 아닌 경우 하단의 요구사항 생략 가능)
○ 개방 데이터 서비스 연속성 확보
 - 기존 시스템(DB)과 연관된 개방데이터 목록을 식별하고 본 사업으로 추가되는 데이터를 포함하여 개방될 수 있도록 지원하여야 함</v>
      </c>
      <c r="E758" s="86"/>
      <c r="F758" s="87"/>
      <c r="H758" s="36" t="s">
        <v>771</v>
      </c>
    </row>
    <row r="759" spans="2:8" x14ac:dyDescent="0.3">
      <c r="B759" s="90" t="s">
        <v>98</v>
      </c>
      <c r="C759" s="91"/>
      <c r="D759" s="38" t="str">
        <f>VLOOKUP($D755,'3. 요건기술서 전체'!$B:$L,9,0)</f>
        <v>개방데이터 서비스 연속성 확보 방안 계획·결과, 메타데이터 현행화 결과</v>
      </c>
      <c r="E759" s="39"/>
      <c r="F759" s="40"/>
      <c r="H759" s="37" t="s">
        <v>696</v>
      </c>
    </row>
    <row r="760" spans="2:8" ht="15.75" thickBot="1" x14ac:dyDescent="0.35">
      <c r="B760" s="92" t="s">
        <v>47</v>
      </c>
      <c r="C760" s="93"/>
      <c r="D760" s="99">
        <f>VLOOKUP($D755,'3. 요건기술서 전체'!$B:$L,2,0)</f>
        <v>0</v>
      </c>
      <c r="E760" s="100"/>
      <c r="F760" s="101"/>
      <c r="H760" s="37">
        <v>0</v>
      </c>
    </row>
    <row r="761" spans="2:8" ht="15.75" thickBot="1" x14ac:dyDescent="0.35">
      <c r="H761" s="37"/>
    </row>
    <row r="762" spans="2:8" x14ac:dyDescent="0.3">
      <c r="B762" s="96" t="s">
        <v>41</v>
      </c>
      <c r="C762" s="97"/>
      <c r="D762" s="30" t="str">
        <f>D754</f>
        <v>데이터 요구사항</v>
      </c>
      <c r="E762" s="31" t="s">
        <v>131</v>
      </c>
      <c r="F762" s="32" t="str">
        <f>VLOOKUP($D763,'3. 요건기술서 전체'!$B:$L,6,0)</f>
        <v>필수</v>
      </c>
      <c r="H762" s="37" t="s">
        <v>692</v>
      </c>
    </row>
    <row r="763" spans="2:8" x14ac:dyDescent="0.3">
      <c r="B763" s="94" t="s">
        <v>42</v>
      </c>
      <c r="C763" s="95"/>
      <c r="D763" s="33" t="str">
        <f>LEFT(D755,3)&amp;"-"&amp;TEXT(VALUE(RIGHT(D755,3))+1,"000")</f>
        <v>DAR-010</v>
      </c>
      <c r="E763" s="34" t="s">
        <v>85</v>
      </c>
      <c r="F763" s="35" t="str">
        <f>IFERROR(TRIM(IF(VLOOKUP($D763,'3. 요건기술서 전체'!$B:$L,10,0)&lt;&gt;"",IF(VLOOKUP($D763,'3. 요건기술서 전체'!$B:$L,10,0)="O", "한난O", IF(VLOOKUP($D763,'3. 요건기술서 전체'!$B:$L,10,0)="X", "한난X", "")),"") &amp; " " &amp;IF(VLOOKUP($D763,'3. 요건기술서 전체'!$B:$L,11,0)&lt;&gt;"",IF(VLOOKUP($D763,'3. 요건기술서 전체'!$B:$L,11,0)="O", "외부O", IF(VLOOKUP($D763,'3. 요건기술서 전체'!$B:$L,11,0)="X", "외부X", "")),"")),"")</f>
        <v/>
      </c>
      <c r="H763" s="44" t="s">
        <v>685</v>
      </c>
    </row>
    <row r="764" spans="2:8" x14ac:dyDescent="0.3">
      <c r="B764" s="94" t="s">
        <v>43</v>
      </c>
      <c r="C764" s="95"/>
      <c r="D764" s="85" t="str">
        <f>VLOOKUP($D763,'3. 요건기술서 전체'!$B:$L,5,0)</f>
        <v>DB 관리 방안</v>
      </c>
      <c r="E764" s="86"/>
      <c r="F764" s="87"/>
      <c r="H764" s="36" t="s">
        <v>433</v>
      </c>
    </row>
    <row r="765" spans="2:8" x14ac:dyDescent="0.3">
      <c r="B765" s="98" t="s">
        <v>44</v>
      </c>
      <c r="C765" s="43" t="s">
        <v>45</v>
      </c>
      <c r="D765" s="85" t="str">
        <f>VLOOKUP($D763,'3. 요건기술서 전체'!$B:$L,7,0)</f>
        <v>DB 명세서 및 마이그레이션 방안 제시</v>
      </c>
      <c r="E765" s="86"/>
      <c r="F765" s="87"/>
      <c r="H765" s="36" t="s">
        <v>584</v>
      </c>
    </row>
    <row r="766" spans="2:8" ht="127.5" x14ac:dyDescent="0.3">
      <c r="B766" s="98"/>
      <c r="C766" s="43" t="s">
        <v>46</v>
      </c>
      <c r="D766" s="85" t="str">
        <f>VLOOKUP($D763,'3. 요건기술서 전체'!$B:$L,8,0)</f>
        <v xml:space="preserve">○ DB 명세서 제공
 - 논리/물리 데이터모델 및 테이블 Relationship(ERD)
 - 테이블 및 컬럼, 프로시져 등에 대한 설명
※ DB 명세서 제공 불가시, 상용 솔루션 커스터마이징 내역 제시 필요
○ 상용 솔루션의 경우, DB 커스터마이징 가능 범위 및 방안
○ 기존 시스템 데이터를 분석하여 신규 시스템의 관리 체계에 맞게 마이그레이션
 - 마이그레이션 시, 지사별 중복 데이터 및 미사용 데이터 처리 방안 제시
○ 이관 데이터의 AI 학습 가용성 검증
 - 이관되는 텍스트 데이터(이력, 조치내용 등)의 결측치, 특수문자 오류 등을 사전 정제하여 향후 LLM 학습 시 노이즈를 최소화해야 함
 - 데이터 간 관계(Relation)를 명확히 하여 AI가 문맥을 파악할 수 있는 구조로 이관해야 함 </v>
      </c>
      <c r="E766" s="86"/>
      <c r="F766" s="87"/>
      <c r="H766" s="37" t="s">
        <v>850</v>
      </c>
    </row>
    <row r="767" spans="2:8" x14ac:dyDescent="0.3">
      <c r="B767" s="90" t="s">
        <v>98</v>
      </c>
      <c r="C767" s="91"/>
      <c r="D767" s="38" t="str">
        <f>VLOOKUP($D763,'3. 요건기술서 전체'!$B:$L,9,0)</f>
        <v>엔티티목록, 정의서, ERD(논리데이터모델), 코드 정의서, 데이터베이스설계서(물리데이터모델)</v>
      </c>
      <c r="E767" s="39"/>
      <c r="F767" s="40"/>
      <c r="H767" s="37" t="s">
        <v>1133</v>
      </c>
    </row>
    <row r="768" spans="2:8" ht="15.75" thickBot="1" x14ac:dyDescent="0.35">
      <c r="B768" s="92" t="s">
        <v>47</v>
      </c>
      <c r="C768" s="93"/>
      <c r="D768" s="99">
        <f>VLOOKUP($D763,'3. 요건기술서 전체'!$B:$L,2,0)</f>
        <v>0</v>
      </c>
      <c r="E768" s="100"/>
      <c r="F768" s="101"/>
      <c r="H768" s="37">
        <v>0</v>
      </c>
    </row>
    <row r="769" spans="2:8" ht="15.75" thickBot="1" x14ac:dyDescent="0.35">
      <c r="H769" s="37"/>
    </row>
    <row r="770" spans="2:8" x14ac:dyDescent="0.3">
      <c r="B770" s="96" t="s">
        <v>41</v>
      </c>
      <c r="C770" s="97"/>
      <c r="D770" s="30" t="str">
        <f>D762</f>
        <v>데이터 요구사항</v>
      </c>
      <c r="E770" s="31" t="s">
        <v>131</v>
      </c>
      <c r="F770" s="32" t="str">
        <f>VLOOKUP($D771,'3. 요건기술서 전체'!$B:$L,6,0)</f>
        <v>필수</v>
      </c>
      <c r="H770" s="44" t="s">
        <v>692</v>
      </c>
    </row>
    <row r="771" spans="2:8" x14ac:dyDescent="0.3">
      <c r="B771" s="94" t="s">
        <v>42</v>
      </c>
      <c r="C771" s="95"/>
      <c r="D771" s="33" t="str">
        <f>LEFT(D763,3)&amp;"-"&amp;TEXT(VALUE(RIGHT(D763,3))+1,"000")</f>
        <v>DAR-011</v>
      </c>
      <c r="E771" s="34" t="s">
        <v>85</v>
      </c>
      <c r="F771" s="35" t="str">
        <f>IFERROR(TRIM(IF(VLOOKUP($D771,'3. 요건기술서 전체'!$B:$L,10,0)&lt;&gt;"",IF(VLOOKUP($D771,'3. 요건기술서 전체'!$B:$L,10,0)="O", "한난O", IF(VLOOKUP($D771,'3. 요건기술서 전체'!$B:$L,10,0)="X", "한난X", "")),"") &amp; " " &amp;IF(VLOOKUP($D771,'3. 요건기술서 전체'!$B:$L,11,0)&lt;&gt;"",IF(VLOOKUP($D771,'3. 요건기술서 전체'!$B:$L,11,0)="O", "외부O", IF(VLOOKUP($D771,'3. 요건기술서 전체'!$B:$L,11,0)="X", "외부X", "")),"")),"")</f>
        <v/>
      </c>
      <c r="H771" s="36" t="s">
        <v>686</v>
      </c>
    </row>
    <row r="772" spans="2:8" x14ac:dyDescent="0.3">
      <c r="B772" s="94" t="s">
        <v>43</v>
      </c>
      <c r="C772" s="95"/>
      <c r="D772" s="85" t="str">
        <f>VLOOKUP($D771,'3. 요건기술서 전체'!$B:$L,5,0)</f>
        <v>DB 표준 준수</v>
      </c>
      <c r="E772" s="86"/>
      <c r="F772" s="87"/>
      <c r="H772" s="36" t="s">
        <v>435</v>
      </c>
    </row>
    <row r="773" spans="2:8" x14ac:dyDescent="0.3">
      <c r="B773" s="98" t="s">
        <v>44</v>
      </c>
      <c r="C773" s="43" t="s">
        <v>45</v>
      </c>
      <c r="D773" s="85" t="str">
        <f>VLOOKUP($D771,'3. 요건기술서 전체'!$B:$L,7,0)</f>
        <v>DB 설계 시, 한국지역난방공사 DB 표준 정책 준수</v>
      </c>
      <c r="E773" s="86"/>
      <c r="F773" s="87"/>
      <c r="H773" s="37" t="s">
        <v>585</v>
      </c>
    </row>
    <row r="774" spans="2:8" ht="76.5" x14ac:dyDescent="0.3">
      <c r="B774" s="98"/>
      <c r="C774" s="43" t="s">
        <v>46</v>
      </c>
      <c r="D774" s="85" t="str">
        <f>VLOOKUP($D771,'3. 요건기술서 전체'!$B:$L,8,0)</f>
        <v>○ 우리 공사의 ‘데이터 관리 절차서’, ‘데이터 표준관리 절차서’, ‘데이터 구조관리 절차서’를 준수하여, 전사 데이터 표준메타를 적용하고, 개념/물리/논리 데이터모델을 설계함
○ DB상세설계 시, 신규 정보시스템 등록정보 (①시스템 기본정보, ②담당자, ③DB연결정보, ④개념/논리/물리데이터 모델, ⑤인터페이스 목록)를 데이터 관리조직에 제출
○ 데이터 관리조직으로부터 데이터모델 보완을 요구받을 시, 필히 개선을 수행함
○ 상용 솔루션 고유 데이터 모델의 경우 비표준 대상으로 관리하여 표준준수 대상에서 제외 가능</v>
      </c>
      <c r="E774" s="86"/>
      <c r="F774" s="87"/>
      <c r="H774" s="37" t="s">
        <v>586</v>
      </c>
    </row>
    <row r="775" spans="2:8" x14ac:dyDescent="0.3">
      <c r="B775" s="90" t="s">
        <v>98</v>
      </c>
      <c r="C775" s="91"/>
      <c r="D775" s="38" t="str">
        <f>VLOOKUP($D771,'3. 요건기술서 전체'!$B:$L,9,0)</f>
        <v>개념/논리/물리데이터모델</v>
      </c>
      <c r="E775" s="39"/>
      <c r="F775" s="40"/>
      <c r="H775" s="37" t="s">
        <v>697</v>
      </c>
    </row>
    <row r="776" spans="2:8" ht="15.75" thickBot="1" x14ac:dyDescent="0.35">
      <c r="B776" s="92" t="s">
        <v>47</v>
      </c>
      <c r="C776" s="93"/>
      <c r="D776" s="99">
        <f>VLOOKUP($D771,'3. 요건기술서 전체'!$B:$L,2,0)</f>
        <v>0</v>
      </c>
      <c r="E776" s="100"/>
      <c r="F776" s="101"/>
      <c r="H776" s="37">
        <v>0</v>
      </c>
    </row>
    <row r="777" spans="2:8" ht="15.75" thickBot="1" x14ac:dyDescent="0.35"/>
    <row r="778" spans="2:8" x14ac:dyDescent="0.3">
      <c r="B778" s="96" t="s">
        <v>41</v>
      </c>
      <c r="C778" s="97"/>
      <c r="D778" s="30" t="str">
        <f>D770</f>
        <v>데이터 요구사항</v>
      </c>
      <c r="E778" s="31" t="s">
        <v>131</v>
      </c>
      <c r="F778" s="32" t="str">
        <f>VLOOKUP($D779,'3. 요건기술서 전체'!$B:$L,6,0)</f>
        <v>필수</v>
      </c>
      <c r="H778" s="36" t="s">
        <v>692</v>
      </c>
    </row>
    <row r="779" spans="2:8" x14ac:dyDescent="0.3">
      <c r="B779" s="94" t="s">
        <v>42</v>
      </c>
      <c r="C779" s="95"/>
      <c r="D779" s="33" t="str">
        <f>LEFT(D771,3)&amp;"-"&amp;TEXT(VALUE(RIGHT(D771,3))+1,"000")</f>
        <v>DAR-012</v>
      </c>
      <c r="E779" s="34" t="s">
        <v>85</v>
      </c>
      <c r="F779" s="35" t="str">
        <f>IFERROR(TRIM(IF(VLOOKUP($D779,'3. 요건기술서 전체'!$B:$L,10,0)&lt;&gt;"",IF(VLOOKUP($D779,'3. 요건기술서 전체'!$B:$L,10,0)="O", "한난O", IF(VLOOKUP($D779,'3. 요건기술서 전체'!$B:$L,10,0)="X", "한난X", "")),"") &amp; " " &amp;IF(VLOOKUP($D779,'3. 요건기술서 전체'!$B:$L,11,0)&lt;&gt;"",IF(VLOOKUP($D779,'3. 요건기술서 전체'!$B:$L,11,0)="O", "외부O", IF(VLOOKUP($D779,'3. 요건기술서 전체'!$B:$L,11,0)="X", "외부X", "")),"")),"")</f>
        <v/>
      </c>
      <c r="H779" s="36" t="s">
        <v>687</v>
      </c>
    </row>
    <row r="780" spans="2:8" x14ac:dyDescent="0.3">
      <c r="B780" s="94" t="s">
        <v>43</v>
      </c>
      <c r="C780" s="95"/>
      <c r="D780" s="85" t="str">
        <f>VLOOKUP($D779,'3. 요건기술서 전체'!$B:$L,5,0)</f>
        <v>AI 지원을 위한 데이터 구조 표준 수립</v>
      </c>
      <c r="E780" s="86"/>
      <c r="F780" s="87"/>
      <c r="H780" s="37" t="s">
        <v>587</v>
      </c>
    </row>
    <row r="781" spans="2:8" x14ac:dyDescent="0.3">
      <c r="B781" s="98" t="s">
        <v>44</v>
      </c>
      <c r="C781" s="43" t="s">
        <v>45</v>
      </c>
      <c r="D781" s="85" t="str">
        <f>VLOOKUP($D779,'3. 요건기술서 전체'!$B:$L,7,0)</f>
        <v>AI 지원을 위한 데이터 구조 표준 수립</v>
      </c>
      <c r="E781" s="86"/>
      <c r="F781" s="87"/>
      <c r="H781" s="37" t="s">
        <v>587</v>
      </c>
    </row>
    <row r="782" spans="2:8" ht="89.25" x14ac:dyDescent="0.3">
      <c r="B782" s="98"/>
      <c r="C782" s="43" t="s">
        <v>46</v>
      </c>
      <c r="D782" s="85" t="str">
        <f>VLOOKUP($D779,'3. 요건기술서 전체'!$B:$L,8,0)</f>
        <v>○ 비정형 데이터(도면/이미지) 구축 요건
 - 디지털 문서(텍스트형 PDF, 한글 등): 텍스트를 추출(Parsing)하여 문단 단위로 벡터 DB화 할 수 있도록 구조화 하여야한다.
 - 이미지/수기 도면(스캔파일 등):
 - OCR 인식률이 낮은 수기 도면은 무리한 텍스트 변환을 지양하고, 대신 AI가 식별 가능한 수준의 '상세 메타데이터'를 태깅하여 DB화해야 한다.
 - 필수 태깅 항목: 설비명, 설비코드(Tag No), 도면유형(P&amp;ID, ISO 등), 작성일자, 주요 부품명, 지사명 등
 - 파일명이 아닌, 시스템 내 메타데이터 테이블과 파일을 1:1로 매핑하여, 향후 AI가 메타데이터를 통해 해당 설비도면을 호출할 수 있도록 구조화해야 한다.</v>
      </c>
      <c r="E782" s="86"/>
      <c r="F782" s="87"/>
      <c r="H782" s="37" t="s">
        <v>1093</v>
      </c>
    </row>
    <row r="783" spans="2:8" x14ac:dyDescent="0.3">
      <c r="B783" s="90" t="s">
        <v>98</v>
      </c>
      <c r="C783" s="91"/>
      <c r="D783" s="38" t="str">
        <f>VLOOKUP($D779,'3. 요건기술서 전체'!$B:$L,9,0)</f>
        <v>개념/논리/물리데이터모델</v>
      </c>
      <c r="E783" s="39"/>
      <c r="F783" s="40"/>
      <c r="H783" s="37" t="s">
        <v>697</v>
      </c>
    </row>
    <row r="784" spans="2:8" ht="15.75" thickBot="1" x14ac:dyDescent="0.35">
      <c r="B784" s="92" t="s">
        <v>47</v>
      </c>
      <c r="C784" s="93"/>
      <c r="D784" s="99">
        <f>VLOOKUP($D779,'3. 요건기술서 전체'!$B:$L,2,0)</f>
        <v>0</v>
      </c>
      <c r="E784" s="100"/>
      <c r="F784" s="101"/>
      <c r="H784" s="44">
        <v>0</v>
      </c>
    </row>
    <row r="785" spans="2:8" ht="15.75" thickBot="1" x14ac:dyDescent="0.35">
      <c r="H785" s="36"/>
    </row>
    <row r="786" spans="2:8" x14ac:dyDescent="0.3">
      <c r="B786" s="96" t="s">
        <v>41</v>
      </c>
      <c r="C786" s="97"/>
      <c r="D786" s="30" t="str">
        <f>D778</f>
        <v>데이터 요구사항</v>
      </c>
      <c r="E786" s="31" t="s">
        <v>131</v>
      </c>
      <c r="F786" s="32" t="str">
        <f>VLOOKUP($D787,'3. 요건기술서 전체'!$B:$L,6,0)</f>
        <v>필수</v>
      </c>
      <c r="H786" s="36" t="s">
        <v>692</v>
      </c>
    </row>
    <row r="787" spans="2:8" x14ac:dyDescent="0.3">
      <c r="B787" s="94" t="s">
        <v>42</v>
      </c>
      <c r="C787" s="95"/>
      <c r="D787" s="33" t="str">
        <f>LEFT(D779,3)&amp;"-"&amp;TEXT(VALUE(RIGHT(D779,3))+1,"000")</f>
        <v>DAR-013</v>
      </c>
      <c r="E787" s="34" t="s">
        <v>85</v>
      </c>
      <c r="F787" s="35" t="str">
        <f>IFERROR(TRIM(IF(VLOOKUP($D787,'3. 요건기술서 전체'!$B:$L,10,0)&lt;&gt;"",IF(VLOOKUP($D787,'3. 요건기술서 전체'!$B:$L,10,0)="O", "한난O", IF(VLOOKUP($D787,'3. 요건기술서 전체'!$B:$L,10,0)="X", "한난X", "")),"") &amp; " " &amp;IF(VLOOKUP($D787,'3. 요건기술서 전체'!$B:$L,11,0)&lt;&gt;"",IF(VLOOKUP($D787,'3. 요건기술서 전체'!$B:$L,11,0)="O", "외부O", IF(VLOOKUP($D787,'3. 요건기술서 전체'!$B:$L,11,0)="X", "외부X", "")),"")),"")</f>
        <v/>
      </c>
      <c r="H787" s="37" t="s">
        <v>688</v>
      </c>
    </row>
    <row r="788" spans="2:8" x14ac:dyDescent="0.3">
      <c r="B788" s="94" t="s">
        <v>43</v>
      </c>
      <c r="C788" s="95"/>
      <c r="D788" s="85" t="str">
        <f>VLOOKUP($D787,'3. 요건기술서 전체'!$B:$L,5,0)</f>
        <v>데이터 관리 일반</v>
      </c>
      <c r="E788" s="86"/>
      <c r="F788" s="87"/>
      <c r="H788" s="37" t="s">
        <v>438</v>
      </c>
    </row>
    <row r="789" spans="2:8" x14ac:dyDescent="0.3">
      <c r="B789" s="98" t="s">
        <v>44</v>
      </c>
      <c r="C789" s="43" t="s">
        <v>45</v>
      </c>
      <c r="D789" s="85" t="str">
        <f>VLOOKUP($D787,'3. 요건기술서 전체'!$B:$L,7,0)</f>
        <v>데이터 관리 일반</v>
      </c>
      <c r="E789" s="86"/>
      <c r="F789" s="87"/>
      <c r="H789" s="37" t="s">
        <v>438</v>
      </c>
    </row>
    <row r="790" spans="2:8" ht="38.25" x14ac:dyDescent="0.3">
      <c r="B790" s="98"/>
      <c r="C790" s="43" t="s">
        <v>46</v>
      </c>
      <c r="D790" s="85" t="str">
        <f>VLOOKUP($D787,'3. 요건기술서 전체'!$B:$L,8,0)</f>
        <v>○ 동일 데이터 중복 방지 방안 제시
○ 우리 공사가 제시하는 데이터 관리 요구사항 준수
○ 데이터 정제/변환/저장과정 모니터링을 위한 로그관리</v>
      </c>
      <c r="E790" s="86"/>
      <c r="F790" s="87"/>
      <c r="H790" s="37" t="s">
        <v>588</v>
      </c>
    </row>
    <row r="791" spans="2:8" x14ac:dyDescent="0.3">
      <c r="B791" s="90" t="s">
        <v>98</v>
      </c>
      <c r="C791" s="91"/>
      <c r="D791" s="38">
        <f>VLOOKUP($D787,'3. 요건기술서 전체'!$B:$L,9,0)</f>
        <v>0</v>
      </c>
      <c r="E791" s="39"/>
      <c r="F791" s="40"/>
      <c r="H791" s="44">
        <v>0</v>
      </c>
    </row>
    <row r="792" spans="2:8" ht="15.75" thickBot="1" x14ac:dyDescent="0.35">
      <c r="B792" s="92" t="s">
        <v>47</v>
      </c>
      <c r="C792" s="93"/>
      <c r="D792" s="99">
        <f>VLOOKUP($D787,'3. 요건기술서 전체'!$B:$L,2,0)</f>
        <v>0</v>
      </c>
      <c r="E792" s="100"/>
      <c r="F792" s="101"/>
      <c r="H792" s="36">
        <v>0</v>
      </c>
    </row>
    <row r="793" spans="2:8" ht="15.75" thickBot="1" x14ac:dyDescent="0.35">
      <c r="H793" s="36"/>
    </row>
    <row r="794" spans="2:8" x14ac:dyDescent="0.3">
      <c r="B794" s="96" t="s">
        <v>41</v>
      </c>
      <c r="C794" s="97"/>
      <c r="D794" s="30" t="s">
        <v>147</v>
      </c>
      <c r="E794" s="31" t="s">
        <v>131</v>
      </c>
      <c r="F794" s="32" t="str">
        <f>VLOOKUP($D795,'3. 요건기술서 전체'!$B:$L,6,0)</f>
        <v>필수</v>
      </c>
      <c r="H794" s="37" t="s">
        <v>698</v>
      </c>
    </row>
    <row r="795" spans="2:8" x14ac:dyDescent="0.3">
      <c r="B795" s="94" t="s">
        <v>42</v>
      </c>
      <c r="C795" s="95"/>
      <c r="D795" s="33" t="s">
        <v>439</v>
      </c>
      <c r="E795" s="34" t="s">
        <v>85</v>
      </c>
      <c r="F795" s="35" t="str">
        <f>IFERROR(TRIM(IF(VLOOKUP($D795,'3. 요건기술서 전체'!$B:$L,10,0)&lt;&gt;"",IF(VLOOKUP($D795,'3. 요건기술서 전체'!$B:$L,10,0)="O", "한난O", IF(VLOOKUP($D795,'3. 요건기술서 전체'!$B:$L,10,0)="X", "한난X", "")),"") &amp; " " &amp;IF(VLOOKUP($D795,'3. 요건기술서 전체'!$B:$L,11,0)&lt;&gt;"",IF(VLOOKUP($D795,'3. 요건기술서 전체'!$B:$L,11,0)="O", "외부O", IF(VLOOKUP($D795,'3. 요건기술서 전체'!$B:$L,11,0)="X", "외부X", "")),"")),"")</f>
        <v/>
      </c>
      <c r="H795" s="37" t="s">
        <v>439</v>
      </c>
    </row>
    <row r="796" spans="2:8" x14ac:dyDescent="0.3">
      <c r="B796" s="94" t="s">
        <v>43</v>
      </c>
      <c r="C796" s="95"/>
      <c r="D796" s="85" t="str">
        <f>VLOOKUP($D795,'3. 요건기술서 전체'!$B:$L,5,0)</f>
        <v>표준 제약사항</v>
      </c>
      <c r="E796" s="86"/>
      <c r="F796" s="87"/>
      <c r="H796" s="37" t="s">
        <v>440</v>
      </c>
    </row>
    <row r="797" spans="2:8" x14ac:dyDescent="0.3">
      <c r="B797" s="98" t="s">
        <v>44</v>
      </c>
      <c r="C797" s="43" t="s">
        <v>45</v>
      </c>
      <c r="D797" s="85" t="str">
        <f>VLOOKUP($D795,'3. 요건기술서 전체'!$B:$L,7,0)</f>
        <v>목표시스템의 표준 제약에 관한 사항</v>
      </c>
      <c r="E797" s="86"/>
      <c r="F797" s="87"/>
      <c r="H797" s="37" t="s">
        <v>589</v>
      </c>
    </row>
    <row r="798" spans="2:8" ht="38.25" x14ac:dyDescent="0.3">
      <c r="B798" s="98"/>
      <c r="C798" s="43" t="s">
        <v>46</v>
      </c>
      <c r="D798" s="85" t="str">
        <f>VLOOKUP($D795,'3. 요건기술서 전체'!$B:$L,8,0)</f>
        <v>○ 시스템은 기존의 국가표준 및 정보화 기술지원기관에서 확정한 표준화 내용 준수
○ 전자정부 구축을 위한 기술 아키텍처 표준을 제시한 “행정기관 및 공공기관 정보시스템 구축·운영 기술 지침(행정 안전부 고시)” 준수 
○ 시스템은 웹 접근성 관련 표준인 ‘한국형 웹 콘텐츠 접근성 지침 2.2(KWCAG 2.2)’ 준수</v>
      </c>
      <c r="E798" s="86"/>
      <c r="F798" s="87"/>
      <c r="H798" s="44" t="s">
        <v>590</v>
      </c>
    </row>
    <row r="799" spans="2:8" x14ac:dyDescent="0.3">
      <c r="B799" s="90" t="s">
        <v>871</v>
      </c>
      <c r="C799" s="91"/>
      <c r="D799" s="88">
        <f>VLOOKUP(D795, '3. 요건기술서 전체'!$B:$L, 9, 0)</f>
        <v>0</v>
      </c>
      <c r="E799" s="88"/>
      <c r="F799" s="89"/>
      <c r="H799" s="36">
        <v>0</v>
      </c>
    </row>
    <row r="800" spans="2:8" ht="15.75" thickBot="1" x14ac:dyDescent="0.35">
      <c r="B800" s="92" t="s">
        <v>47</v>
      </c>
      <c r="C800" s="93"/>
      <c r="D800" s="99">
        <f>VLOOKUP($D795,'3. 요건기술서 전체'!$B:$L,2,0)</f>
        <v>0</v>
      </c>
      <c r="E800" s="100"/>
      <c r="F800" s="101"/>
      <c r="H800" s="36">
        <v>0</v>
      </c>
    </row>
    <row r="801" spans="2:8" ht="15.75" thickBot="1" x14ac:dyDescent="0.35">
      <c r="H801" s="37"/>
    </row>
    <row r="802" spans="2:8" x14ac:dyDescent="0.3">
      <c r="B802" s="96" t="s">
        <v>41</v>
      </c>
      <c r="C802" s="97"/>
      <c r="D802" s="30" t="str">
        <f>D794</f>
        <v>제약사항</v>
      </c>
      <c r="E802" s="31" t="s">
        <v>131</v>
      </c>
      <c r="F802" s="32" t="str">
        <f>VLOOKUP($D803,'3. 요건기술서 전체'!$B:$L,6,0)</f>
        <v>필수</v>
      </c>
      <c r="H802" s="37" t="s">
        <v>698</v>
      </c>
    </row>
    <row r="803" spans="2:8" x14ac:dyDescent="0.3">
      <c r="B803" s="94" t="s">
        <v>42</v>
      </c>
      <c r="C803" s="95"/>
      <c r="D803" s="33" t="str">
        <f>LEFT(D795,3)&amp;"-"&amp;TEXT(VALUE(RIGHT(D795,3))+1,"000")</f>
        <v>COR-002</v>
      </c>
      <c r="E803" s="34" t="s">
        <v>85</v>
      </c>
      <c r="F803" s="35" t="str">
        <f>IFERROR(TRIM(IF(VLOOKUP($D803,'3. 요건기술서 전체'!$B:$L,10,0)&lt;&gt;"",IF(VLOOKUP($D803,'3. 요건기술서 전체'!$B:$L,10,0)="O", "한난O", IF(VLOOKUP($D803,'3. 요건기술서 전체'!$B:$L,10,0)="X", "한난X", "")),"") &amp; " " &amp;IF(VLOOKUP($D803,'3. 요건기술서 전체'!$B:$L,11,0)&lt;&gt;"",IF(VLOOKUP($D803,'3. 요건기술서 전체'!$B:$L,11,0)="O", "외부O", IF(VLOOKUP($D803,'3. 요건기술서 전체'!$B:$L,11,0)="X", "외부X", "")),"")),"")</f>
        <v/>
      </c>
      <c r="H803" s="37" t="s">
        <v>441</v>
      </c>
    </row>
    <row r="804" spans="2:8" x14ac:dyDescent="0.3">
      <c r="B804" s="94" t="s">
        <v>43</v>
      </c>
      <c r="C804" s="95"/>
      <c r="D804" s="85" t="str">
        <f>VLOOKUP($D803,'3. 요건기술서 전체'!$B:$L,5,0)</f>
        <v xml:space="preserve">감리 대응 </v>
      </c>
      <c r="E804" s="86"/>
      <c r="F804" s="87"/>
      <c r="H804" s="37" t="s">
        <v>442</v>
      </c>
    </row>
    <row r="805" spans="2:8" x14ac:dyDescent="0.3">
      <c r="B805" s="98" t="s">
        <v>44</v>
      </c>
      <c r="C805" s="43" t="s">
        <v>45</v>
      </c>
      <c r="D805" s="85" t="str">
        <f>VLOOKUP($D803,'3. 요건기술서 전체'!$B:$L,7,0)</f>
        <v>감리 대응 및 협조</v>
      </c>
      <c r="E805" s="86"/>
      <c r="F805" s="87"/>
      <c r="H805" s="44" t="s">
        <v>591</v>
      </c>
    </row>
    <row r="806" spans="2:8" ht="63.75" x14ac:dyDescent="0.3">
      <c r="B806" s="98"/>
      <c r="C806" s="43" t="s">
        <v>46</v>
      </c>
      <c r="D806" s="85" t="str">
        <f>VLOOKUP($D803,'3. 요건기술서 전체'!$B:$L,8,0)</f>
        <v>○ 감리 계획 수립 및 감리 협조 
 - 관련규정: 전자정부지원사업 관리지침 제23조 및 전자정부법 제57조(행정기관등의 정보 시스템 감리) 
 - 감리계획에 따른 실행에 대응
 - 수요기관이 추후 별도의 전문기관을 통해 감리를 실시하는 경우,한국정보화진흥원의 ‘정보화사업 감리수행 가이드’에 기재된 사항을 점검할 수 있도록 감리법인이 점검하기 위한 산출물을 작성하여 제출</v>
      </c>
      <c r="E806" s="86"/>
      <c r="F806" s="87"/>
      <c r="H806" s="36" t="s">
        <v>592</v>
      </c>
    </row>
    <row r="807" spans="2:8" x14ac:dyDescent="0.3">
      <c r="B807" s="90" t="s">
        <v>871</v>
      </c>
      <c r="C807" s="91"/>
      <c r="D807" s="88">
        <f>VLOOKUP(D803, '3. 요건기술서 전체'!$B:$L, 9, 0)</f>
        <v>0</v>
      </c>
      <c r="E807" s="88"/>
      <c r="F807" s="89"/>
      <c r="H807" s="36">
        <v>0</v>
      </c>
    </row>
    <row r="808" spans="2:8" ht="15.75" thickBot="1" x14ac:dyDescent="0.35">
      <c r="B808" s="92" t="s">
        <v>47</v>
      </c>
      <c r="C808" s="93"/>
      <c r="D808" s="99">
        <f>VLOOKUP($D803,'3. 요건기술서 전체'!$B:$L,2,0)</f>
        <v>0</v>
      </c>
      <c r="E808" s="100"/>
      <c r="F808" s="101"/>
      <c r="H808" s="37">
        <v>0</v>
      </c>
    </row>
    <row r="809" spans="2:8" ht="15.75" thickBot="1" x14ac:dyDescent="0.35">
      <c r="H809" s="37"/>
    </row>
    <row r="810" spans="2:8" x14ac:dyDescent="0.3">
      <c r="B810" s="96" t="s">
        <v>41</v>
      </c>
      <c r="C810" s="97"/>
      <c r="D810" s="30" t="str">
        <f>D802</f>
        <v>제약사항</v>
      </c>
      <c r="E810" s="31" t="s">
        <v>131</v>
      </c>
      <c r="F810" s="32" t="str">
        <f>VLOOKUP($D811,'3. 요건기술서 전체'!$B:$L,6,0)</f>
        <v>필수</v>
      </c>
      <c r="H810" s="37" t="s">
        <v>698</v>
      </c>
    </row>
    <row r="811" spans="2:8" x14ac:dyDescent="0.3">
      <c r="B811" s="94" t="s">
        <v>42</v>
      </c>
      <c r="C811" s="95"/>
      <c r="D811" s="33" t="str">
        <f>LEFT(D803,3)&amp;"-"&amp;TEXT(VALUE(RIGHT(D803,3))+1,"000")</f>
        <v>COR-003</v>
      </c>
      <c r="E811" s="34" t="s">
        <v>85</v>
      </c>
      <c r="F811" s="35" t="str">
        <f>IFERROR(TRIM(IF(VLOOKUP($D811,'3. 요건기술서 전체'!$B:$L,10,0)&lt;&gt;"",IF(VLOOKUP($D811,'3. 요건기술서 전체'!$B:$L,10,0)="O", "한난O", IF(VLOOKUP($D811,'3. 요건기술서 전체'!$B:$L,10,0)="X", "한난X", "")),"") &amp; " " &amp;IF(VLOOKUP($D811,'3. 요건기술서 전체'!$B:$L,11,0)&lt;&gt;"",IF(VLOOKUP($D811,'3. 요건기술서 전체'!$B:$L,11,0)="O", "외부O", IF(VLOOKUP($D811,'3. 요건기술서 전체'!$B:$L,11,0)="X", "외부X", "")),"")),"")</f>
        <v/>
      </c>
      <c r="H811" s="37" t="s">
        <v>443</v>
      </c>
    </row>
    <row r="812" spans="2:8" x14ac:dyDescent="0.3">
      <c r="B812" s="94" t="s">
        <v>43</v>
      </c>
      <c r="C812" s="95"/>
      <c r="D812" s="85" t="str">
        <f>VLOOKUP($D811,'3. 요건기술서 전체'!$B:$L,5,0)</f>
        <v>기술적용계획표 및 결과표 작성</v>
      </c>
      <c r="E812" s="86"/>
      <c r="F812" s="87"/>
      <c r="H812" s="44" t="s">
        <v>444</v>
      </c>
    </row>
    <row r="813" spans="2:8" x14ac:dyDescent="0.3">
      <c r="B813" s="98" t="s">
        <v>44</v>
      </c>
      <c r="C813" s="43" t="s">
        <v>45</v>
      </c>
      <c r="D813" s="85" t="str">
        <f>VLOOKUP($D811,'3. 요건기술서 전체'!$B:$L,7,0)</f>
        <v>기술적용계획표 및 결과표 작성</v>
      </c>
      <c r="E813" s="86"/>
      <c r="F813" s="87"/>
      <c r="H813" s="36" t="s">
        <v>444</v>
      </c>
    </row>
    <row r="814" spans="2:8" ht="102" x14ac:dyDescent="0.3">
      <c r="B814" s="98"/>
      <c r="C814" s="43" t="s">
        <v>46</v>
      </c>
      <c r="D814" s="85" t="str">
        <f>VLOOKUP($D811,'3. 요건기술서 전체'!$B:$L,8,0)</f>
        <v>○ 기술적용계획표 및 결과표 작성 방안 제시 
 - 기술적용계획표의 기술표준이 본 사업에 부합하는지 검토하여야 하며, 변경이 필요할 경우 타당한 사유를 제시하여 발주자와 상호 협의하여 조정
○ 기술적용계획표 및 결과표 작성
 - 공공 SW사업 기술표준을 준수하여야 하며, 제안서에 “행정기관 및 공공기관 정보 시스템 구축운영지침(행정안전부고시)”에 의한 [붙임 1] ‘기술적용계획표’  작성·제출
 - 사업자는 계약체결 후 사업수행계획서 제출 시 ‘정보시스템의 구축·운영 기술지침’에 따라 ‘기술적용계획 및 결과표’를 첨부하여 발주자 검토 필요
 - 발주처가 작성한 기술적용계획표의 검토 및 준수와 결과표 작성 방안 제시
 - 기술적용계획표의 기술표준이 본 사업에 부합하는지 검토하여야 하며, 변경이 필요할 경우 타당한 사유를 제시하여 발주처와 상호 협의하여 조정</v>
      </c>
      <c r="E814" s="86"/>
      <c r="F814" s="87"/>
      <c r="H814" s="36" t="s">
        <v>593</v>
      </c>
    </row>
    <row r="815" spans="2:8" x14ac:dyDescent="0.3">
      <c r="B815" s="90" t="s">
        <v>871</v>
      </c>
      <c r="C815" s="91"/>
      <c r="D815" s="88">
        <f>VLOOKUP(D811, '3. 요건기술서 전체'!$B:$L, 9, 0)</f>
        <v>0</v>
      </c>
      <c r="E815" s="88"/>
      <c r="F815" s="89"/>
      <c r="H815" s="37">
        <v>0</v>
      </c>
    </row>
    <row r="816" spans="2:8" ht="15.75" thickBot="1" x14ac:dyDescent="0.35">
      <c r="B816" s="92" t="s">
        <v>47</v>
      </c>
      <c r="C816" s="93"/>
      <c r="D816" s="99">
        <f>VLOOKUP($D811,'3. 요건기술서 전체'!$B:$L,2,0)</f>
        <v>0</v>
      </c>
      <c r="E816" s="100"/>
      <c r="F816" s="101"/>
      <c r="H816" s="37">
        <v>0</v>
      </c>
    </row>
    <row r="817" spans="2:8" ht="15.75" thickBot="1" x14ac:dyDescent="0.35">
      <c r="H817" s="37"/>
    </row>
    <row r="818" spans="2:8" x14ac:dyDescent="0.3">
      <c r="B818" s="96" t="s">
        <v>41</v>
      </c>
      <c r="C818" s="97"/>
      <c r="D818" s="30" t="str">
        <f>D810</f>
        <v>제약사항</v>
      </c>
      <c r="E818" s="31" t="s">
        <v>131</v>
      </c>
      <c r="F818" s="32" t="str">
        <f>VLOOKUP($D819,'3. 요건기술서 전체'!$B:$L,6,0)</f>
        <v>필수</v>
      </c>
      <c r="H818" s="37" t="s">
        <v>698</v>
      </c>
    </row>
    <row r="819" spans="2:8" x14ac:dyDescent="0.3">
      <c r="B819" s="94" t="s">
        <v>42</v>
      </c>
      <c r="C819" s="95"/>
      <c r="D819" s="33" t="str">
        <f>LEFT(D811,3)&amp;"-"&amp;TEXT(VALUE(RIGHT(D811,3))+1,"000")</f>
        <v>COR-004</v>
      </c>
      <c r="E819" s="34" t="s">
        <v>85</v>
      </c>
      <c r="F819" s="35" t="str">
        <f>IFERROR(TRIM(IF(VLOOKUP($D819,'3. 요건기술서 전체'!$B:$L,10,0)&lt;&gt;"",IF(VLOOKUP($D819,'3. 요건기술서 전체'!$B:$L,10,0)="O", "한난O", IF(VLOOKUP($D819,'3. 요건기술서 전체'!$B:$L,10,0)="X", "한난X", "")),"") &amp; " " &amp;IF(VLOOKUP($D819,'3. 요건기술서 전체'!$B:$L,11,0)&lt;&gt;"",IF(VLOOKUP($D819,'3. 요건기술서 전체'!$B:$L,11,0)="O", "외부O", IF(VLOOKUP($D819,'3. 요건기술서 전체'!$B:$L,11,0)="X", "외부X", "")),"")),"")</f>
        <v/>
      </c>
      <c r="H819" s="44" t="s">
        <v>445</v>
      </c>
    </row>
    <row r="820" spans="2:8" x14ac:dyDescent="0.3">
      <c r="B820" s="94" t="s">
        <v>43</v>
      </c>
      <c r="C820" s="95"/>
      <c r="D820" s="85" t="str">
        <f>VLOOKUP($D819,'3. 요건기술서 전체'!$B:$L,5,0)</f>
        <v>개발 제약사항</v>
      </c>
      <c r="E820" s="86"/>
      <c r="F820" s="87"/>
      <c r="H820" s="36" t="s">
        <v>446</v>
      </c>
    </row>
    <row r="821" spans="2:8" x14ac:dyDescent="0.3">
      <c r="B821" s="98" t="s">
        <v>44</v>
      </c>
      <c r="C821" s="43" t="s">
        <v>45</v>
      </c>
      <c r="D821" s="85" t="str">
        <f>VLOOKUP($D819,'3. 요건기술서 전체'!$B:$L,7,0)</f>
        <v>목표시스템의 개발제약에 관한 사항</v>
      </c>
      <c r="E821" s="86"/>
      <c r="F821" s="87"/>
      <c r="H821" s="36" t="s">
        <v>594</v>
      </c>
    </row>
    <row r="822" spans="2:8" ht="153" x14ac:dyDescent="0.3">
      <c r="B822" s="98"/>
      <c r="C822" s="43" t="s">
        <v>46</v>
      </c>
      <c r="D822" s="85" t="str">
        <f>VLOOKUP($D819,'3. 요건기술서 전체'!$B:$L,8,0)</f>
        <v>○ 시스템의 핵심 규칙/데이터/업무로직을 구성하는 단위시스템은 현 시점에서 한국 전자정부 표준/국제 표준으로 받아들여지고 있는 표준 SOA 구현 기술(SOAP, UDDI, WSDL)등을 준수하여 개발 
○ 목표시스템에 적용할 수 있는 공통 컴포넌트의 사용계획 및 활용방안 제시
○ 시스템은 제시된 방법론의 절차와 과정(개발표준, 기술표준 문서화)에 따른 개발
○ 어플리케이션은 특정 하드웨어나 운영체제(OS)에 종속되지 않고 향후 유연성, 확장성 및 유지보수가 용이하도록 개발
○ 본 과업 수행 시 발생되는 화면처리 흐름, 신규 코드 분류 등 향후 운영 및 유지관리에 영향을 주는 제반사항은 감독과 사전에 협의하여 시행
○ 그래픽, 입력, 검색 등 각종 화면 및 처리방법은 감독과 협의하여 결정
○ 프로그램 작성 기법과 문서화 작업은 사전에 감독과 협의하여 결정하고 소스 작성 시 주석을 상세히 기술
○ 본 과업을 수행함에 있어 연계되는 시스템의 유지보수팀과의 정보를 공유하고 상호 간에 긴밀한 협조를 유지할 수 있는 체계를 마련하여 본 과업이 차질 없이 수행
○ 본 용역의 수행으로 인해 연계되는 시스템에 영향을 주어서는 안됨
○ 프로젝트 범위 내 ActiveX 사용 및 하드코딩 배제</v>
      </c>
      <c r="E822" s="86"/>
      <c r="F822" s="87"/>
      <c r="H822" s="37" t="s">
        <v>595</v>
      </c>
    </row>
    <row r="823" spans="2:8" x14ac:dyDescent="0.3">
      <c r="B823" s="90" t="s">
        <v>871</v>
      </c>
      <c r="C823" s="91"/>
      <c r="D823" s="88">
        <f>VLOOKUP(D819, '3. 요건기술서 전체'!$B:$L, 9, 0)</f>
        <v>0</v>
      </c>
      <c r="E823" s="88"/>
      <c r="F823" s="89"/>
      <c r="H823" s="37">
        <v>0</v>
      </c>
    </row>
    <row r="824" spans="2:8" ht="15.75" thickBot="1" x14ac:dyDescent="0.35">
      <c r="B824" s="92" t="s">
        <v>47</v>
      </c>
      <c r="C824" s="93"/>
      <c r="D824" s="99">
        <f>VLOOKUP($D819,'3. 요건기술서 전체'!$B:$L,2,0)</f>
        <v>0</v>
      </c>
      <c r="E824" s="100"/>
      <c r="F824" s="101"/>
      <c r="H824" s="37">
        <v>0</v>
      </c>
    </row>
    <row r="825" spans="2:8" ht="15.75" thickBot="1" x14ac:dyDescent="0.35">
      <c r="H825" s="37"/>
    </row>
    <row r="826" spans="2:8" x14ac:dyDescent="0.3">
      <c r="B826" s="96" t="s">
        <v>41</v>
      </c>
      <c r="C826" s="97"/>
      <c r="D826" s="30" t="str">
        <f>D818</f>
        <v>제약사항</v>
      </c>
      <c r="E826" s="31" t="s">
        <v>131</v>
      </c>
      <c r="F826" s="32" t="str">
        <f>VLOOKUP($D827,'3. 요건기술서 전체'!$B:$L,6,0)</f>
        <v>필수</v>
      </c>
      <c r="H826" s="44" t="s">
        <v>698</v>
      </c>
    </row>
    <row r="827" spans="2:8" x14ac:dyDescent="0.3">
      <c r="B827" s="94" t="s">
        <v>42</v>
      </c>
      <c r="C827" s="95"/>
      <c r="D827" s="33" t="str">
        <f>LEFT(D819,3)&amp;"-"&amp;TEXT(VALUE(RIGHT(D819,3))+1,"000")</f>
        <v>COR-005</v>
      </c>
      <c r="E827" s="34" t="s">
        <v>85</v>
      </c>
      <c r="F827" s="35" t="str">
        <f>IFERROR(TRIM(IF(VLOOKUP($D827,'3. 요건기술서 전체'!$B:$L,10,0)&lt;&gt;"",IF(VLOOKUP($D827,'3. 요건기술서 전체'!$B:$L,10,0)="O", "한난O", IF(VLOOKUP($D827,'3. 요건기술서 전체'!$B:$L,10,0)="X", "한난X", "")),"") &amp; " " &amp;IF(VLOOKUP($D827,'3. 요건기술서 전체'!$B:$L,11,0)&lt;&gt;"",IF(VLOOKUP($D827,'3. 요건기술서 전체'!$B:$L,11,0)="O", "외부O", IF(VLOOKUP($D827,'3. 요건기술서 전체'!$B:$L,11,0)="X", "외부X", "")),"")),"")</f>
        <v/>
      </c>
      <c r="H827" s="36" t="s">
        <v>447</v>
      </c>
    </row>
    <row r="828" spans="2:8" x14ac:dyDescent="0.3">
      <c r="B828" s="94" t="s">
        <v>43</v>
      </c>
      <c r="C828" s="95"/>
      <c r="D828" s="85" t="str">
        <f>VLOOKUP($D827,'3. 요건기술서 전체'!$B:$L,5,0)</f>
        <v>법적 제약사항</v>
      </c>
      <c r="E828" s="86"/>
      <c r="F828" s="87"/>
      <c r="H828" s="36" t="s">
        <v>448</v>
      </c>
    </row>
    <row r="829" spans="2:8" x14ac:dyDescent="0.3">
      <c r="B829" s="98" t="s">
        <v>44</v>
      </c>
      <c r="C829" s="43" t="s">
        <v>45</v>
      </c>
      <c r="D829" s="85" t="str">
        <f>VLOOKUP($D827,'3. 요건기술서 전체'!$B:$L,7,0)</f>
        <v>목표시스템의 법적 제약에 관한 사항</v>
      </c>
      <c r="E829" s="86"/>
      <c r="F829" s="87"/>
      <c r="H829" s="37" t="s">
        <v>596</v>
      </c>
    </row>
    <row r="830" spans="2:8" ht="153" x14ac:dyDescent="0.3">
      <c r="B830" s="98"/>
      <c r="C830" s="43" t="s">
        <v>46</v>
      </c>
      <c r="D830" s="85" t="str">
        <f>VLOOKUP($D827,'3. 요건기술서 전체'!$B:$L,8,0)</f>
        <v>○ 시스템은 개인정보보호를 위하여 ‘개인정보보호법’ 준수
○ 시스템은 ‘전자정부 웹사이트 품질관리 지침’ 준수
○ 시스템은 ‘행정정보데이터베이스 표준화 지침’ 준수
○ 시스템은 ‘행정기관의 코드표준화 추진지침‘ 준수
○ 시스템은 다양한 웹 브라우저에서 접근할 수 있도록 W3C의 국제표준 적용
○ 본 사업은「소프트웨어 진흥법 제46조」에 따라 해당 사업 수주자는 SW사업정보(SW사업 수행 및 실적 정보) 데이터를 작성 및 제출
 - SW사업정보는 SW사업정보 저장소(www.spir.kr)에 총 2회 제출
   (1차 : 사업계약 완료 후 1개월 이내, 2차 : 사업 종료 후 1개월 이내)
 - 데이터 작성에 대한 기본적인 책임은 해당사업 수주기업에 있고 사업 수주자가 작성하기 어려운 항목에 대해서는 발주 담당자가 작성할 수 있으며, 데이터 제출 시 발주기관의 최종 승인을 득한 후 제출
 - SW사업정보 데이터는 사업수행계획서 작성 시 단계별 산출물 리스트에 반드시 명시
○ SW사업정보 중 기능점수 데이터를 작성하여 제출</v>
      </c>
      <c r="E830" s="86"/>
      <c r="F830" s="87"/>
      <c r="H830" s="37" t="s">
        <v>597</v>
      </c>
    </row>
    <row r="831" spans="2:8" x14ac:dyDescent="0.3">
      <c r="B831" s="90" t="s">
        <v>871</v>
      </c>
      <c r="C831" s="91"/>
      <c r="D831" s="88" t="str">
        <f>VLOOKUP(D827, '3. 요건기술서 전체'!$B:$L, 9, 0)</f>
        <v>정보화사업 현황보고서</v>
      </c>
      <c r="E831" s="88"/>
      <c r="F831" s="89"/>
      <c r="H831" s="37" t="s">
        <v>1094</v>
      </c>
    </row>
    <row r="832" spans="2:8" ht="15.75" thickBot="1" x14ac:dyDescent="0.35">
      <c r="B832" s="92" t="s">
        <v>47</v>
      </c>
      <c r="C832" s="93"/>
      <c r="D832" s="99">
        <f>VLOOKUP($D827,'3. 요건기술서 전체'!$B:$L,2,0)</f>
        <v>0</v>
      </c>
      <c r="E832" s="100"/>
      <c r="F832" s="101"/>
      <c r="H832" s="37">
        <v>0</v>
      </c>
    </row>
    <row r="833" spans="2:8" ht="15.75" thickBot="1" x14ac:dyDescent="0.35"/>
    <row r="834" spans="2:8" x14ac:dyDescent="0.3">
      <c r="B834" s="96" t="s">
        <v>41</v>
      </c>
      <c r="C834" s="97"/>
      <c r="D834" s="30" t="str">
        <f>D826</f>
        <v>제약사항</v>
      </c>
      <c r="E834" s="31" t="s">
        <v>131</v>
      </c>
      <c r="F834" s="32" t="str">
        <f>VLOOKUP($D835,'3. 요건기술서 전체'!$B:$L,6,0)</f>
        <v>필수</v>
      </c>
      <c r="H834" s="36" t="s">
        <v>698</v>
      </c>
    </row>
    <row r="835" spans="2:8" x14ac:dyDescent="0.3">
      <c r="B835" s="94" t="s">
        <v>42</v>
      </c>
      <c r="C835" s="95"/>
      <c r="D835" s="33" t="str">
        <f>LEFT(D827,3)&amp;"-"&amp;TEXT(VALUE(RIGHT(D827,3))+1,"000")</f>
        <v>COR-006</v>
      </c>
      <c r="E835" s="34" t="s">
        <v>85</v>
      </c>
      <c r="F835" s="35" t="str">
        <f>IFERROR(TRIM(IF(VLOOKUP($D835,'3. 요건기술서 전체'!$B:$L,10,0)&lt;&gt;"",IF(VLOOKUP($D835,'3. 요건기술서 전체'!$B:$L,10,0)="O", "한난O", IF(VLOOKUP($D835,'3. 요건기술서 전체'!$B:$L,10,0)="X", "한난X", "")),"") &amp; " " &amp;IF(VLOOKUP($D835,'3. 요건기술서 전체'!$B:$L,11,0)&lt;&gt;"",IF(VLOOKUP($D835,'3. 요건기술서 전체'!$B:$L,11,0)="O", "외부O", IF(VLOOKUP($D835,'3. 요건기술서 전체'!$B:$L,11,0)="X", "외부X", "")),"")),"")</f>
        <v/>
      </c>
      <c r="H835" s="36" t="s">
        <v>449</v>
      </c>
    </row>
    <row r="836" spans="2:8" x14ac:dyDescent="0.3">
      <c r="B836" s="94" t="s">
        <v>43</v>
      </c>
      <c r="C836" s="95"/>
      <c r="D836" s="85" t="str">
        <f>VLOOKUP($D835,'3. 요건기술서 전체'!$B:$L,5,0)</f>
        <v>기타 제약사항</v>
      </c>
      <c r="E836" s="86"/>
      <c r="F836" s="87"/>
      <c r="H836" s="37" t="s">
        <v>450</v>
      </c>
    </row>
    <row r="837" spans="2:8" x14ac:dyDescent="0.3">
      <c r="B837" s="98" t="s">
        <v>44</v>
      </c>
      <c r="C837" s="43" t="s">
        <v>45</v>
      </c>
      <c r="D837" s="85" t="str">
        <f>VLOOKUP($D835,'3. 요건기술서 전체'!$B:$L,7,0)</f>
        <v>목표시스템의 기타 제약사항에 관한 사항</v>
      </c>
      <c r="E837" s="86"/>
      <c r="F837" s="87"/>
      <c r="H837" s="37" t="s">
        <v>598</v>
      </c>
    </row>
    <row r="838" spans="2:8" ht="38.25" x14ac:dyDescent="0.3">
      <c r="B838" s="98"/>
      <c r="C838" s="43" t="s">
        <v>46</v>
      </c>
      <c r="D838" s="85" t="str">
        <f>VLOOKUP($D835,'3. 요건기술서 전체'!$B:$L,8,0)</f>
        <v>○ 본 과업은 관련 법규, 용역 규정 및 과업내용서와 감독원의 지시에 따라 수행하여야 하며 과업내용서에 명시된 모든 항목은 최소한의 사항만을 규정하였으므로 상세히 기술되지 않았거나 누락된 사항에 대하여 운영상 문제가 발생하지 않도록 해야 함
○ 본 과업지시서 상에 명시된 사항 중 해석상의 이견이 있을 시 공사와 계약상대자간에 상호 협의하여 조정</v>
      </c>
      <c r="E838" s="86"/>
      <c r="F838" s="87"/>
      <c r="H838" s="37" t="s">
        <v>599</v>
      </c>
    </row>
    <row r="839" spans="2:8" x14ac:dyDescent="0.3">
      <c r="B839" s="90" t="s">
        <v>871</v>
      </c>
      <c r="C839" s="91"/>
      <c r="D839" s="88">
        <f>VLOOKUP(D835, '3. 요건기술서 전체'!$B:$L, 9, 0)</f>
        <v>0</v>
      </c>
      <c r="E839" s="88"/>
      <c r="F839" s="89"/>
      <c r="H839" s="37">
        <v>0</v>
      </c>
    </row>
    <row r="840" spans="2:8" ht="15.75" thickBot="1" x14ac:dyDescent="0.35">
      <c r="B840" s="92" t="s">
        <v>47</v>
      </c>
      <c r="C840" s="93"/>
      <c r="D840" s="99">
        <f>VLOOKUP($D835,'3. 요건기술서 전체'!$B:$L,2,0)</f>
        <v>0</v>
      </c>
      <c r="E840" s="100"/>
      <c r="F840" s="101"/>
      <c r="H840" s="44">
        <v>0</v>
      </c>
    </row>
    <row r="841" spans="2:8" ht="15.75" thickBot="1" x14ac:dyDescent="0.35">
      <c r="H841" s="36"/>
    </row>
    <row r="842" spans="2:8" x14ac:dyDescent="0.3">
      <c r="B842" s="96" t="s">
        <v>41</v>
      </c>
      <c r="C842" s="97"/>
      <c r="D842" s="30" t="str">
        <f>D834</f>
        <v>제약사항</v>
      </c>
      <c r="E842" s="31" t="s">
        <v>131</v>
      </c>
      <c r="F842" s="32" t="str">
        <f>VLOOKUP($D843,'3. 요건기술서 전체'!$B:$L,6,0)</f>
        <v>필수</v>
      </c>
      <c r="H842" s="36" t="s">
        <v>698</v>
      </c>
    </row>
    <row r="843" spans="2:8" x14ac:dyDescent="0.3">
      <c r="B843" s="94" t="s">
        <v>42</v>
      </c>
      <c r="C843" s="95"/>
      <c r="D843" s="33" t="str">
        <f>LEFT(D835,3)&amp;"-"&amp;TEXT(VALUE(RIGHT(D835,3))+1,"000")</f>
        <v>COR-007</v>
      </c>
      <c r="E843" s="34" t="s">
        <v>85</v>
      </c>
      <c r="F843" s="35" t="str">
        <f>IFERROR(TRIM(IF(VLOOKUP($D843,'3. 요건기술서 전체'!$B:$L,10,0)&lt;&gt;"",IF(VLOOKUP($D843,'3. 요건기술서 전체'!$B:$L,10,0)="O", "한난O", IF(VLOOKUP($D843,'3. 요건기술서 전체'!$B:$L,10,0)="X", "한난X", "")),"") &amp; " " &amp;IF(VLOOKUP($D843,'3. 요건기술서 전체'!$B:$L,11,0)&lt;&gt;"",IF(VLOOKUP($D843,'3. 요건기술서 전체'!$B:$L,11,0)="O", "외부O", IF(VLOOKUP($D843,'3. 요건기술서 전체'!$B:$L,11,0)="X", "외부X", "")),"")),"")</f>
        <v/>
      </c>
      <c r="H843" s="37" t="s">
        <v>451</v>
      </c>
    </row>
    <row r="844" spans="2:8" x14ac:dyDescent="0.3">
      <c r="B844" s="94" t="s">
        <v>43</v>
      </c>
      <c r="C844" s="95"/>
      <c r="D844" s="85" t="str">
        <f>VLOOKUP($D843,'3. 요건기술서 전체'!$B:$L,5,0)</f>
        <v>특허권 및 저작권 보호</v>
      </c>
      <c r="E844" s="86"/>
      <c r="F844" s="87"/>
      <c r="H844" s="37" t="s">
        <v>452</v>
      </c>
    </row>
    <row r="845" spans="2:8" x14ac:dyDescent="0.3">
      <c r="B845" s="98" t="s">
        <v>44</v>
      </c>
      <c r="C845" s="43" t="s">
        <v>45</v>
      </c>
      <c r="D845" s="85" t="str">
        <f>VLOOKUP($D843,'3. 요건기술서 전체'!$B:$L,7,0)</f>
        <v>목표시스템의 기타 제약사항에 관한 사항</v>
      </c>
      <c r="E845" s="86"/>
      <c r="F845" s="87"/>
      <c r="H845" s="37" t="s">
        <v>598</v>
      </c>
    </row>
    <row r="846" spans="2:8" ht="89.25" x14ac:dyDescent="0.3">
      <c r="B846" s="98"/>
      <c r="C846" s="43" t="s">
        <v>46</v>
      </c>
      <c r="D846" s="85" t="str">
        <f>VLOOKUP($D843,'3. 요건기술서 전체'!$B:$L,8,0)</f>
        <v>○ 제안사가 제공한 소프트웨어 사용기간 동안 동 소프트웨어로 인하여 발주자가 소유권 및 지적재산권 침해에 대한 소송상 또는 소송의 청구를 당하거나 그로 인한 재판이 결정된 경우, 공급업체는 자기의 비용과 선택으로 즉시 동 소프트웨어의 계속 점유권 및 사용권을 발주자에게 부여하거나 또는 소유권 및 지적재산권 침해 소프트웨어와 동등 또는 더 우수한 물품으로 대체하고 문제가 된 소프트웨어를 철거하여야 한다.
○ 제안사는 구축된 시스템이 국내의 저작권 침해 등 법적 권리관계의 문제 발생 시 이에 대한 조치 및 책임을 져야 하며 이에 따른 손해배상의 책임도 제안사에게 있음
○ 제안사는 계약에 의거 제공한 HW, SW가 국내외의 특허권 및 저작권을 침해한다는 이유로 소송을 제기 받을 경우 발주자에게 발생한 모든 손해 및 배상을 책임져야 함</v>
      </c>
      <c r="E846" s="86"/>
      <c r="F846" s="87"/>
      <c r="H846" s="37" t="s">
        <v>600</v>
      </c>
    </row>
    <row r="847" spans="2:8" x14ac:dyDescent="0.3">
      <c r="B847" s="90" t="s">
        <v>871</v>
      </c>
      <c r="C847" s="91"/>
      <c r="D847" s="88">
        <f>VLOOKUP(D843, '3. 요건기술서 전체'!$B:$L, 9, 0)</f>
        <v>0</v>
      </c>
      <c r="E847" s="88"/>
      <c r="F847" s="89"/>
      <c r="H847" s="44">
        <v>0</v>
      </c>
    </row>
    <row r="848" spans="2:8" ht="15.75" thickBot="1" x14ac:dyDescent="0.35">
      <c r="B848" s="92" t="s">
        <v>47</v>
      </c>
      <c r="C848" s="93"/>
      <c r="D848" s="99">
        <f>VLOOKUP($D843,'3. 요건기술서 전체'!$B:$L,2,0)</f>
        <v>0</v>
      </c>
      <c r="E848" s="100"/>
      <c r="F848" s="101"/>
      <c r="H848" s="36">
        <v>0</v>
      </c>
    </row>
    <row r="849" spans="2:8" ht="15.75" thickBot="1" x14ac:dyDescent="0.35">
      <c r="H849" s="36"/>
    </row>
    <row r="850" spans="2:8" x14ac:dyDescent="0.3">
      <c r="B850" s="96" t="s">
        <v>41</v>
      </c>
      <c r="C850" s="97"/>
      <c r="D850" s="30" t="s">
        <v>52</v>
      </c>
      <c r="E850" s="31" t="s">
        <v>131</v>
      </c>
      <c r="F850" s="32" t="str">
        <f>VLOOKUP($D851,'3. 요건기술서 전체'!$B:$L,6,0)</f>
        <v>필수</v>
      </c>
      <c r="H850" s="37" t="s">
        <v>699</v>
      </c>
    </row>
    <row r="851" spans="2:8" x14ac:dyDescent="0.3">
      <c r="B851" s="94" t="s">
        <v>42</v>
      </c>
      <c r="C851" s="95"/>
      <c r="D851" s="33" t="s">
        <v>517</v>
      </c>
      <c r="E851" s="34" t="s">
        <v>85</v>
      </c>
      <c r="F851" s="35" t="str">
        <f>IFERROR(TRIM(IF(VLOOKUP($D851,'3. 요건기술서 전체'!$B:$L,10,0)&lt;&gt;"",IF(VLOOKUP($D851,'3. 요건기술서 전체'!$B:$L,10,0)="O", "한난O", IF(VLOOKUP($D851,'3. 요건기술서 전체'!$B:$L,10,0)="X", "한난X", "")),"") &amp; " " &amp;IF(VLOOKUP($D851,'3. 요건기술서 전체'!$B:$L,11,0)&lt;&gt;"",IF(VLOOKUP($D851,'3. 요건기술서 전체'!$B:$L,11,0)="O", "외부O", IF(VLOOKUP($D851,'3. 요건기술서 전체'!$B:$L,11,0)="X", "외부X", "")),"")),"")</f>
        <v/>
      </c>
      <c r="H851" s="37" t="s">
        <v>453</v>
      </c>
    </row>
    <row r="852" spans="2:8" x14ac:dyDescent="0.3">
      <c r="B852" s="94" t="s">
        <v>43</v>
      </c>
      <c r="C852" s="95"/>
      <c r="D852" s="85" t="str">
        <f>VLOOKUP($D851,'3. 요건기술서 전체'!$B:$L,5,0)</f>
        <v>정보응답시간</v>
      </c>
      <c r="E852" s="86"/>
      <c r="F852" s="87"/>
      <c r="H852" s="37" t="s">
        <v>454</v>
      </c>
    </row>
    <row r="853" spans="2:8" x14ac:dyDescent="0.3">
      <c r="B853" s="98" t="s">
        <v>44</v>
      </c>
      <c r="C853" s="43" t="s">
        <v>45</v>
      </c>
      <c r="D853" s="85" t="str">
        <f>VLOOKUP($D851,'3. 요건기술서 전체'!$B:$L,7,0)</f>
        <v>정보응답시간</v>
      </c>
      <c r="E853" s="86"/>
      <c r="F853" s="87"/>
      <c r="H853" s="37" t="s">
        <v>454</v>
      </c>
    </row>
    <row r="854" spans="2:8" ht="38.25" x14ac:dyDescent="0.3">
      <c r="B854" s="98"/>
      <c r="C854" s="43" t="s">
        <v>46</v>
      </c>
      <c r="D854" s="85" t="str">
        <f>VLOOKUP($D851,'3. 요건기술서 전체'!$B:$L,8,0)</f>
        <v>○ 정보응답시간 개선
 - 모든 기능은 요청하는 시간으로 부터 3,000ms 내에 결과를 보여주도록 구현
 - 대용량의 데이터 요청 시 진행상태 및 메시지 표시</v>
      </c>
      <c r="E854" s="86"/>
      <c r="F854" s="87"/>
      <c r="H854" s="44" t="s">
        <v>851</v>
      </c>
    </row>
    <row r="855" spans="2:8" x14ac:dyDescent="0.3">
      <c r="B855" s="90" t="s">
        <v>871</v>
      </c>
      <c r="C855" s="91"/>
      <c r="D855" s="88">
        <f>VLOOKUP(D851, '3. 요건기술서 전체'!$B:$L, 9, 0)</f>
        <v>0</v>
      </c>
      <c r="E855" s="88"/>
      <c r="F855" s="89"/>
      <c r="H855" s="36">
        <v>0</v>
      </c>
    </row>
    <row r="856" spans="2:8" ht="15.75" thickBot="1" x14ac:dyDescent="0.35">
      <c r="B856" s="92" t="s">
        <v>47</v>
      </c>
      <c r="C856" s="93"/>
      <c r="D856" s="99">
        <f>VLOOKUP($D851,'3. 요건기술서 전체'!$B:$L,2,0)</f>
        <v>0</v>
      </c>
      <c r="E856" s="100"/>
      <c r="F856" s="101"/>
      <c r="H856" s="36">
        <v>0</v>
      </c>
    </row>
    <row r="857" spans="2:8" ht="15.75" thickBot="1" x14ac:dyDescent="0.35">
      <c r="H857" s="37"/>
    </row>
    <row r="858" spans="2:8" x14ac:dyDescent="0.3">
      <c r="B858" s="96" t="s">
        <v>41</v>
      </c>
      <c r="C858" s="97"/>
      <c r="D858" s="30" t="str">
        <f>D850</f>
        <v>성능 요구사항</v>
      </c>
      <c r="E858" s="31" t="s">
        <v>131</v>
      </c>
      <c r="F858" s="32" t="str">
        <f>VLOOKUP($D859,'3. 요건기술서 전체'!$B:$L,6,0)</f>
        <v>필수</v>
      </c>
      <c r="H858" s="37" t="s">
        <v>699</v>
      </c>
    </row>
    <row r="859" spans="2:8" x14ac:dyDescent="0.3">
      <c r="B859" s="94" t="s">
        <v>42</v>
      </c>
      <c r="C859" s="95"/>
      <c r="D859" s="33" t="str">
        <f>LEFT(D851,3)&amp;"-"&amp;TEXT(VALUE(RIGHT(D851,3))+1,"000")</f>
        <v>PER-002</v>
      </c>
      <c r="E859" s="34" t="s">
        <v>85</v>
      </c>
      <c r="F859" s="35" t="str">
        <f>IFERROR(TRIM(IF(VLOOKUP($D859,'3. 요건기술서 전체'!$B:$L,10,0)&lt;&gt;"",IF(VLOOKUP($D859,'3. 요건기술서 전체'!$B:$L,10,0)="O", "한난O", IF(VLOOKUP($D859,'3. 요건기술서 전체'!$B:$L,10,0)="X", "한난X", "")),"") &amp; " " &amp;IF(VLOOKUP($D859,'3. 요건기술서 전체'!$B:$L,11,0)&lt;&gt;"",IF(VLOOKUP($D859,'3. 요건기술서 전체'!$B:$L,11,0)="O", "외부O", IF(VLOOKUP($D859,'3. 요건기술서 전체'!$B:$L,11,0)="X", "외부X", "")),"")),"")</f>
        <v/>
      </c>
      <c r="H859" s="37" t="s">
        <v>455</v>
      </c>
    </row>
    <row r="860" spans="2:8" x14ac:dyDescent="0.3">
      <c r="B860" s="94" t="s">
        <v>43</v>
      </c>
      <c r="C860" s="95"/>
      <c r="D860" s="85" t="str">
        <f>VLOOKUP($D859,'3. 요건기술서 전체'!$B:$L,5,0)</f>
        <v>데이터 오류 응답시간</v>
      </c>
      <c r="E860" s="86"/>
      <c r="F860" s="87"/>
      <c r="H860" s="37" t="s">
        <v>456</v>
      </c>
    </row>
    <row r="861" spans="2:8" x14ac:dyDescent="0.3">
      <c r="B861" s="98" t="s">
        <v>44</v>
      </c>
      <c r="C861" s="43" t="s">
        <v>45</v>
      </c>
      <c r="D861" s="85" t="str">
        <f>VLOOKUP($D859,'3. 요건기술서 전체'!$B:$L,7,0)</f>
        <v>데이터 오류 응답시간</v>
      </c>
      <c r="E861" s="86"/>
      <c r="F861" s="87"/>
      <c r="H861" s="44" t="s">
        <v>456</v>
      </c>
    </row>
    <row r="862" spans="2:8" ht="25.5" x14ac:dyDescent="0.3">
      <c r="B862" s="98"/>
      <c r="C862" s="43" t="s">
        <v>46</v>
      </c>
      <c r="D862" s="85" t="str">
        <f>VLOOKUP($D859,'3. 요건기술서 전체'!$B:$L,8,0)</f>
        <v>○ 데이터 오류 응답시간
 - 사용자 입력 데이터의 형식 오류 등 모든 오류에 대해 사용자가 시스템에 정보를 입력한 시간으로부터 2,000ms 이내에 적절한 오류 메시지 제공</v>
      </c>
      <c r="E862" s="86"/>
      <c r="F862" s="87"/>
      <c r="H862" s="36" t="s">
        <v>852</v>
      </c>
    </row>
    <row r="863" spans="2:8" x14ac:dyDescent="0.3">
      <c r="B863" s="90" t="s">
        <v>871</v>
      </c>
      <c r="C863" s="91"/>
      <c r="D863" s="88">
        <f>VLOOKUP(D859, '3. 요건기술서 전체'!$B:$L, 9, 0)</f>
        <v>0</v>
      </c>
      <c r="E863" s="88"/>
      <c r="F863" s="89"/>
      <c r="H863" s="36">
        <v>0</v>
      </c>
    </row>
    <row r="864" spans="2:8" ht="15.75" thickBot="1" x14ac:dyDescent="0.35">
      <c r="B864" s="92" t="s">
        <v>47</v>
      </c>
      <c r="C864" s="93"/>
      <c r="D864" s="99">
        <f>VLOOKUP($D859,'3. 요건기술서 전체'!$B:$L,2,0)</f>
        <v>0</v>
      </c>
      <c r="E864" s="100"/>
      <c r="F864" s="101"/>
      <c r="H864" s="37">
        <v>0</v>
      </c>
    </row>
    <row r="865" spans="2:8" ht="15.75" thickBot="1" x14ac:dyDescent="0.35">
      <c r="H865" s="37"/>
    </row>
    <row r="866" spans="2:8" x14ac:dyDescent="0.3">
      <c r="B866" s="96" t="s">
        <v>41</v>
      </c>
      <c r="C866" s="97"/>
      <c r="D866" s="30" t="str">
        <f>D858</f>
        <v>성능 요구사항</v>
      </c>
      <c r="E866" s="31" t="s">
        <v>131</v>
      </c>
      <c r="F866" s="32" t="str">
        <f>VLOOKUP($D867,'3. 요건기술서 전체'!$B:$L,6,0)</f>
        <v>필수</v>
      </c>
      <c r="H866" s="37" t="s">
        <v>699</v>
      </c>
    </row>
    <row r="867" spans="2:8" x14ac:dyDescent="0.3">
      <c r="B867" s="94" t="s">
        <v>42</v>
      </c>
      <c r="C867" s="95"/>
      <c r="D867" s="33" t="str">
        <f>LEFT(D859,3)&amp;"-"&amp;TEXT(VALUE(RIGHT(D859,3))+1,"000")</f>
        <v>PER-003</v>
      </c>
      <c r="E867" s="34" t="s">
        <v>85</v>
      </c>
      <c r="F867" s="35" t="str">
        <f>IFERROR(TRIM(IF(VLOOKUP($D867,'3. 요건기술서 전체'!$B:$L,10,0)&lt;&gt;"",IF(VLOOKUP($D867,'3. 요건기술서 전체'!$B:$L,10,0)="O", "한난O", IF(VLOOKUP($D867,'3. 요건기술서 전체'!$B:$L,10,0)="X", "한난X", "")),"") &amp; " " &amp;IF(VLOOKUP($D867,'3. 요건기술서 전체'!$B:$L,11,0)&lt;&gt;"",IF(VLOOKUP($D867,'3. 요건기술서 전체'!$B:$L,11,0)="O", "외부O", IF(VLOOKUP($D867,'3. 요건기술서 전체'!$B:$L,11,0)="X", "외부X", "")),"")),"")</f>
        <v/>
      </c>
      <c r="H867" s="37" t="s">
        <v>457</v>
      </c>
    </row>
    <row r="868" spans="2:8" x14ac:dyDescent="0.3">
      <c r="B868" s="94" t="s">
        <v>43</v>
      </c>
      <c r="C868" s="95"/>
      <c r="D868" s="85" t="str">
        <f>VLOOKUP($D867,'3. 요건기술서 전체'!$B:$L,5,0)</f>
        <v>동시 사용자 접속수</v>
      </c>
      <c r="E868" s="86"/>
      <c r="F868" s="87"/>
      <c r="H868" s="44" t="s">
        <v>458</v>
      </c>
    </row>
    <row r="869" spans="2:8" x14ac:dyDescent="0.3">
      <c r="B869" s="98" t="s">
        <v>44</v>
      </c>
      <c r="C869" s="43" t="s">
        <v>45</v>
      </c>
      <c r="D869" s="85" t="str">
        <f>VLOOKUP($D867,'3. 요건기술서 전체'!$B:$L,7,0)</f>
        <v>동시 사용자 접속수</v>
      </c>
      <c r="E869" s="86"/>
      <c r="F869" s="87"/>
      <c r="H869" s="36" t="s">
        <v>458</v>
      </c>
    </row>
    <row r="870" spans="2:8" ht="38.25" x14ac:dyDescent="0.3">
      <c r="B870" s="98"/>
      <c r="C870" s="43" t="s">
        <v>46</v>
      </c>
      <c r="D870" s="85" t="str">
        <f>VLOOKUP($D867,'3. 요건기술서 전체'!$B:$L,8,0)</f>
        <v>○ 동시 사용자 접속
 - 우리 공사 19개 지사 담당자들의 시스템 사용 시 성능 보장
 - 시스템 구축 이후 사용자 수 증가에 따른 과도한 추가 비용 발생 또는 라이선스 추가 등의 사항은 없도록 구성되어야 함</v>
      </c>
      <c r="E870" s="86"/>
      <c r="F870" s="87"/>
      <c r="H870" s="36" t="s">
        <v>853</v>
      </c>
    </row>
    <row r="871" spans="2:8" x14ac:dyDescent="0.3">
      <c r="B871" s="90" t="s">
        <v>871</v>
      </c>
      <c r="C871" s="91"/>
      <c r="D871" s="88">
        <f>VLOOKUP(D867, '3. 요건기술서 전체'!$B:$L, 9, 0)</f>
        <v>0</v>
      </c>
      <c r="E871" s="88"/>
      <c r="F871" s="89"/>
      <c r="H871" s="37">
        <v>0</v>
      </c>
    </row>
    <row r="872" spans="2:8" ht="15.75" thickBot="1" x14ac:dyDescent="0.35">
      <c r="B872" s="92" t="s">
        <v>47</v>
      </c>
      <c r="C872" s="93"/>
      <c r="D872" s="99">
        <f>VLOOKUP($D867,'3. 요건기술서 전체'!$B:$L,2,0)</f>
        <v>0</v>
      </c>
      <c r="E872" s="100"/>
      <c r="F872" s="101"/>
      <c r="H872" s="37">
        <v>0</v>
      </c>
    </row>
    <row r="873" spans="2:8" ht="15.75" thickBot="1" x14ac:dyDescent="0.35">
      <c r="H873" s="37"/>
    </row>
    <row r="874" spans="2:8" x14ac:dyDescent="0.3">
      <c r="B874" s="96" t="s">
        <v>41</v>
      </c>
      <c r="C874" s="97"/>
      <c r="D874" s="30" t="str">
        <f>D866</f>
        <v>성능 요구사항</v>
      </c>
      <c r="E874" s="31" t="s">
        <v>131</v>
      </c>
      <c r="F874" s="32" t="str">
        <f>VLOOKUP($D875,'3. 요건기술서 전체'!$B:$L,6,0)</f>
        <v>필수</v>
      </c>
      <c r="H874" s="37" t="s">
        <v>699</v>
      </c>
    </row>
    <row r="875" spans="2:8" x14ac:dyDescent="0.3">
      <c r="B875" s="94" t="s">
        <v>42</v>
      </c>
      <c r="C875" s="95"/>
      <c r="D875" s="33" t="str">
        <f>LEFT(D867,3)&amp;"-"&amp;TEXT(VALUE(RIGHT(D867,3))+1,"000")</f>
        <v>PER-004</v>
      </c>
      <c r="E875" s="34" t="s">
        <v>85</v>
      </c>
      <c r="F875" s="35" t="str">
        <f>IFERROR(TRIM(IF(VLOOKUP($D875,'3. 요건기술서 전체'!$B:$L,10,0)&lt;&gt;"",IF(VLOOKUP($D875,'3. 요건기술서 전체'!$B:$L,10,0)="O", "한난O", IF(VLOOKUP($D875,'3. 요건기술서 전체'!$B:$L,10,0)="X", "한난X", "")),"") &amp; " " &amp;IF(VLOOKUP($D875,'3. 요건기술서 전체'!$B:$L,11,0)&lt;&gt;"",IF(VLOOKUP($D875,'3. 요건기술서 전체'!$B:$L,11,0)="O", "외부O", IF(VLOOKUP($D875,'3. 요건기술서 전체'!$B:$L,11,0)="X", "외부X", "")),"")),"")</f>
        <v/>
      </c>
      <c r="H875" s="44" t="s">
        <v>459</v>
      </c>
    </row>
    <row r="876" spans="2:8" x14ac:dyDescent="0.3">
      <c r="B876" s="94" t="s">
        <v>43</v>
      </c>
      <c r="C876" s="95"/>
      <c r="D876" s="85" t="str">
        <f>VLOOKUP($D875,'3. 요건기술서 전체'!$B:$L,5,0)</f>
        <v>시스템 부하 최적화</v>
      </c>
      <c r="E876" s="86"/>
      <c r="F876" s="87"/>
      <c r="H876" s="36" t="s">
        <v>460</v>
      </c>
    </row>
    <row r="877" spans="2:8" x14ac:dyDescent="0.3">
      <c r="B877" s="98" t="s">
        <v>44</v>
      </c>
      <c r="C877" s="43" t="s">
        <v>45</v>
      </c>
      <c r="D877" s="85" t="str">
        <f>VLOOKUP($D875,'3. 요건기술서 전체'!$B:$L,7,0)</f>
        <v>시스템 부하 최적화</v>
      </c>
      <c r="E877" s="86"/>
      <c r="F877" s="87"/>
      <c r="H877" s="36" t="s">
        <v>460</v>
      </c>
    </row>
    <row r="878" spans="2:8" ht="25.5" x14ac:dyDescent="0.3">
      <c r="B878" s="98"/>
      <c r="C878" s="43" t="s">
        <v>46</v>
      </c>
      <c r="D878" s="85" t="str">
        <f>VLOOKUP($D875,'3. 요건기술서 전체'!$B:$L,8,0)</f>
        <v>○ 시스템 부하 최적화
 - 조회/통계/분석 등의 작업 시 시스템 부하 최소화 및 최적 분배 설계 구현</v>
      </c>
      <c r="E878" s="86"/>
      <c r="F878" s="87"/>
      <c r="H878" s="37" t="s">
        <v>854</v>
      </c>
    </row>
    <row r="879" spans="2:8" x14ac:dyDescent="0.3">
      <c r="B879" s="90" t="s">
        <v>871</v>
      </c>
      <c r="C879" s="91"/>
      <c r="D879" s="88">
        <f>VLOOKUP(D875, '3. 요건기술서 전체'!$B:$L, 9, 0)</f>
        <v>0</v>
      </c>
      <c r="E879" s="88"/>
      <c r="F879" s="89"/>
      <c r="H879" s="37">
        <v>0</v>
      </c>
    </row>
    <row r="880" spans="2:8" ht="15.75" thickBot="1" x14ac:dyDescent="0.35">
      <c r="B880" s="92" t="s">
        <v>47</v>
      </c>
      <c r="C880" s="93"/>
      <c r="D880" s="99">
        <f>VLOOKUP($D875,'3. 요건기술서 전체'!$B:$L,2,0)</f>
        <v>0</v>
      </c>
      <c r="E880" s="100"/>
      <c r="F880" s="101"/>
      <c r="H880" s="37">
        <v>0</v>
      </c>
    </row>
    <row r="881" spans="2:8" ht="15.75" thickBot="1" x14ac:dyDescent="0.35">
      <c r="H881" s="37"/>
    </row>
    <row r="882" spans="2:8" x14ac:dyDescent="0.3">
      <c r="B882" s="96" t="s">
        <v>41</v>
      </c>
      <c r="C882" s="97"/>
      <c r="D882" s="30" t="s">
        <v>144</v>
      </c>
      <c r="E882" s="31" t="s">
        <v>131</v>
      </c>
      <c r="F882" s="32" t="str">
        <f>VLOOKUP($D883,'3. 요건기술서 전체'!$B:$L,6,0)</f>
        <v>필수</v>
      </c>
      <c r="H882" s="44" t="s">
        <v>700</v>
      </c>
    </row>
    <row r="883" spans="2:8" x14ac:dyDescent="0.3">
      <c r="B883" s="94" t="s">
        <v>42</v>
      </c>
      <c r="C883" s="95"/>
      <c r="D883" s="33" t="s">
        <v>518</v>
      </c>
      <c r="E883" s="34" t="s">
        <v>85</v>
      </c>
      <c r="F883" s="35" t="str">
        <f>IFERROR(TRIM(IF(VLOOKUP($D883,'3. 요건기술서 전체'!$B:$L,10,0)&lt;&gt;"",IF(VLOOKUP($D883,'3. 요건기술서 전체'!$B:$L,10,0)="O", "한난O", IF(VLOOKUP($D883,'3. 요건기술서 전체'!$B:$L,10,0)="X", "한난X", "")),"") &amp; " " &amp;IF(VLOOKUP($D883,'3. 요건기술서 전체'!$B:$L,11,0)&lt;&gt;"",IF(VLOOKUP($D883,'3. 요건기술서 전체'!$B:$L,11,0)="O", "외부O", IF(VLOOKUP($D883,'3. 요건기술서 전체'!$B:$L,11,0)="X", "외부X", "")),"")),"")</f>
        <v/>
      </c>
      <c r="H883" s="36" t="s">
        <v>461</v>
      </c>
    </row>
    <row r="884" spans="2:8" x14ac:dyDescent="0.3">
      <c r="B884" s="94" t="s">
        <v>43</v>
      </c>
      <c r="C884" s="95"/>
      <c r="D884" s="85" t="str">
        <f>VLOOKUP($D883,'3. 요건기술서 전체'!$B:$L,5,0)</f>
        <v>품질관리</v>
      </c>
      <c r="E884" s="86"/>
      <c r="F884" s="87"/>
      <c r="H884" s="36" t="s">
        <v>462</v>
      </c>
    </row>
    <row r="885" spans="2:8" x14ac:dyDescent="0.3">
      <c r="B885" s="98" t="s">
        <v>44</v>
      </c>
      <c r="C885" s="43" t="s">
        <v>45</v>
      </c>
      <c r="D885" s="85" t="str">
        <f>VLOOKUP($D883,'3. 요건기술서 전체'!$B:$L,7,0)</f>
        <v>품질관리 방안</v>
      </c>
      <c r="E885" s="86"/>
      <c r="F885" s="87"/>
      <c r="H885" s="37" t="s">
        <v>601</v>
      </c>
    </row>
    <row r="886" spans="2:8" ht="140.25" x14ac:dyDescent="0.3">
      <c r="B886" s="98"/>
      <c r="C886" s="43" t="s">
        <v>46</v>
      </c>
      <c r="D886" s="85" t="str">
        <f>VLOOKUP($D883,'3. 요건기술서 전체'!$B:$L,8,0)</f>
        <v>○ 품질관리
 - 계약상대자는 계약상 규정된 바에 따라 우리 공사에 제공 또는우리 공사에 의해 이용된 지적재산권(특허, 저작권 등)이나 공정 등이 제3자의 지적재산권을 침해하지 않을 것을 보증해야 함
 - 수행사, 사업자 또는 하도급자가 제3자의 지적재산권을 침해하였거나, 침해하였다는 주장에 의해 우리 공사 또는 사업자를 상대로 제기된 소송, 기타의 분쟁, 클레임 등에 대해 계약상대자의 책임과 비용으로 대응하여야 함
 - 계약상대자는 과업 수행과정에서 사용한 각종 기준 및 요건을 기술하고 근거자료를 제시하여 과업 성과물을 작성, 개정, 발행
 - 품질보증을 위한 품질관리 조직, 품질보증의 범위, 점검 절차 방법 등이 포함된 품질보증계획 수립 및 품질관리 계획서(과업수행계획서에 포함) 제출
 - 사업자는 별도 품질관리 담당을 지정해야 함
 - 품질관리 담당 조직의 품질보증 활동계획 및 형상관리 계획 제시
 - 정기적인 품질관리 활동을 수행하여야 함
 - 일정지연, 품질저하에 따르는 예산초과 등 리스크 발생에 대한 사전 예방 및 발생 시 대처방안 제시</v>
      </c>
      <c r="E886" s="86"/>
      <c r="F886" s="87"/>
      <c r="H886" s="37" t="s">
        <v>1095</v>
      </c>
    </row>
    <row r="887" spans="2:8" ht="25.5" x14ac:dyDescent="0.3">
      <c r="B887" s="90" t="s">
        <v>871</v>
      </c>
      <c r="C887" s="91"/>
      <c r="D887" s="88" t="str">
        <f>VLOOKUP(D883, '3. 요건기술서 전체'!$B:$L, 9, 0)</f>
        <v>품질관리 계획서
(데이터 품질진단계획서)</v>
      </c>
      <c r="E887" s="88"/>
      <c r="F887" s="89"/>
      <c r="H887" s="37" t="s">
        <v>1096</v>
      </c>
    </row>
    <row r="888" spans="2:8" ht="15.75" thickBot="1" x14ac:dyDescent="0.35">
      <c r="B888" s="92" t="s">
        <v>47</v>
      </c>
      <c r="C888" s="93"/>
      <c r="D888" s="99">
        <f>VLOOKUP($D883,'3. 요건기술서 전체'!$B:$L,2,0)</f>
        <v>0</v>
      </c>
      <c r="E888" s="100"/>
      <c r="F888" s="101"/>
      <c r="H888" s="37">
        <v>0</v>
      </c>
    </row>
    <row r="889" spans="2:8" ht="15.75" thickBot="1" x14ac:dyDescent="0.35"/>
    <row r="890" spans="2:8" x14ac:dyDescent="0.3">
      <c r="B890" s="96" t="s">
        <v>41</v>
      </c>
      <c r="C890" s="97"/>
      <c r="D890" s="30" t="str">
        <f>D882</f>
        <v>품질 요구사항</v>
      </c>
      <c r="E890" s="31" t="s">
        <v>131</v>
      </c>
      <c r="F890" s="32" t="str">
        <f>VLOOKUP($D891,'3. 요건기술서 전체'!$B:$L,6,0)</f>
        <v>필수</v>
      </c>
      <c r="H890" s="36" t="s">
        <v>700</v>
      </c>
    </row>
    <row r="891" spans="2:8" x14ac:dyDescent="0.3">
      <c r="B891" s="94" t="s">
        <v>42</v>
      </c>
      <c r="C891" s="95"/>
      <c r="D891" s="33" t="str">
        <f>LEFT(D883,3)&amp;"-"&amp;TEXT(VALUE(RIGHT(D883,3))+1,"000")</f>
        <v>QUR-002</v>
      </c>
      <c r="E891" s="34" t="s">
        <v>85</v>
      </c>
      <c r="F891" s="35" t="str">
        <f>IFERROR(TRIM(IF(VLOOKUP($D891,'3. 요건기술서 전체'!$B:$L,10,0)&lt;&gt;"",IF(VLOOKUP($D891,'3. 요건기술서 전체'!$B:$L,10,0)="O", "한난O", IF(VLOOKUP($D891,'3. 요건기술서 전체'!$B:$L,10,0)="X", "한난X", "")),"") &amp; " " &amp;IF(VLOOKUP($D891,'3. 요건기술서 전체'!$B:$L,11,0)&lt;&gt;"",IF(VLOOKUP($D891,'3. 요건기술서 전체'!$B:$L,11,0)="O", "외부O", IF(VLOOKUP($D891,'3. 요건기술서 전체'!$B:$L,11,0)="X", "외부X", "")),"")),"")</f>
        <v/>
      </c>
      <c r="H891" s="36" t="s">
        <v>463</v>
      </c>
    </row>
    <row r="892" spans="2:8" x14ac:dyDescent="0.3">
      <c r="B892" s="94" t="s">
        <v>43</v>
      </c>
      <c r="C892" s="95"/>
      <c r="D892" s="85" t="str">
        <f>VLOOKUP($D891,'3. 요건기술서 전체'!$B:$L,5,0)</f>
        <v>형상 및 산출물 관리</v>
      </c>
      <c r="E892" s="86"/>
      <c r="F892" s="87"/>
      <c r="H892" s="37" t="s">
        <v>464</v>
      </c>
    </row>
    <row r="893" spans="2:8" x14ac:dyDescent="0.3">
      <c r="B893" s="98" t="s">
        <v>44</v>
      </c>
      <c r="C893" s="43" t="s">
        <v>45</v>
      </c>
      <c r="D893" s="85" t="str">
        <f>VLOOKUP($D891,'3. 요건기술서 전체'!$B:$L,7,0)</f>
        <v>형상 및 산출물 관리 사항</v>
      </c>
      <c r="E893" s="86"/>
      <c r="F893" s="87"/>
      <c r="H893" s="37" t="s">
        <v>602</v>
      </c>
    </row>
    <row r="894" spans="2:8" ht="76.5" x14ac:dyDescent="0.3">
      <c r="B894" s="98"/>
      <c r="C894" s="43" t="s">
        <v>46</v>
      </c>
      <c r="D894" s="85" t="str">
        <f>VLOOKUP($D891,'3. 요건기술서 전체'!$B:$L,8,0)</f>
        <v>○ 형상 및 산출물 관리
 - 시스템 형상관리계획을 수립하고 적용해야 함
 - 프로그램 분배, 테스트, 확인 과정 등을 포함하는 분배관리 절차 및 운영 방안 제시
 - 분배로 인한 장애 발생 시, 분배 전의 상태로의 신속한 복구 방안 및 절차, 운영 방안 등을 제시
 - 버전 변경 시, 시스템의 신뢰성 및 연속성 확보 보장
 - 형상관리시스템을 통한 접근제어 및 이력관리</v>
      </c>
      <c r="E894" s="86"/>
      <c r="F894" s="87"/>
      <c r="H894" s="37" t="s">
        <v>855</v>
      </c>
    </row>
    <row r="895" spans="2:8" x14ac:dyDescent="0.3">
      <c r="B895" s="90" t="s">
        <v>871</v>
      </c>
      <c r="C895" s="91"/>
      <c r="D895" s="88">
        <f>VLOOKUP(D891, '3. 요건기술서 전체'!$B:$L, 9, 0)</f>
        <v>0</v>
      </c>
      <c r="E895" s="88"/>
      <c r="F895" s="89"/>
      <c r="H895" s="37">
        <v>0</v>
      </c>
    </row>
    <row r="896" spans="2:8" ht="15.75" thickBot="1" x14ac:dyDescent="0.35">
      <c r="B896" s="92" t="s">
        <v>47</v>
      </c>
      <c r="C896" s="93"/>
      <c r="D896" s="99">
        <f>VLOOKUP($D891,'3. 요건기술서 전체'!$B:$L,2,0)</f>
        <v>0</v>
      </c>
      <c r="E896" s="100"/>
      <c r="F896" s="101"/>
      <c r="H896" s="44">
        <v>0</v>
      </c>
    </row>
    <row r="897" spans="2:8" ht="15.75" thickBot="1" x14ac:dyDescent="0.35">
      <c r="H897" s="36"/>
    </row>
    <row r="898" spans="2:8" x14ac:dyDescent="0.3">
      <c r="B898" s="96" t="s">
        <v>41</v>
      </c>
      <c r="C898" s="97"/>
      <c r="D898" s="30" t="str">
        <f>D890</f>
        <v>품질 요구사항</v>
      </c>
      <c r="E898" s="31" t="s">
        <v>131</v>
      </c>
      <c r="F898" s="32" t="str">
        <f>VLOOKUP($D899,'3. 요건기술서 전체'!$B:$L,6,0)</f>
        <v>필수</v>
      </c>
      <c r="H898" s="36" t="s">
        <v>700</v>
      </c>
    </row>
    <row r="899" spans="2:8" x14ac:dyDescent="0.3">
      <c r="B899" s="94" t="s">
        <v>42</v>
      </c>
      <c r="C899" s="95"/>
      <c r="D899" s="33" t="str">
        <f>LEFT(D891,3)&amp;"-"&amp;TEXT(VALUE(RIGHT(D891,3))+1,"000")</f>
        <v>QUR-003</v>
      </c>
      <c r="E899" s="34" t="s">
        <v>85</v>
      </c>
      <c r="F899" s="35" t="str">
        <f>IFERROR(TRIM(IF(VLOOKUP($D899,'3. 요건기술서 전체'!$B:$L,10,0)&lt;&gt;"",IF(VLOOKUP($D899,'3. 요건기술서 전체'!$B:$L,10,0)="O", "한난O", IF(VLOOKUP($D899,'3. 요건기술서 전체'!$B:$L,10,0)="X", "한난X", "")),"") &amp; " " &amp;IF(VLOOKUP($D899,'3. 요건기술서 전체'!$B:$L,11,0)&lt;&gt;"",IF(VLOOKUP($D899,'3. 요건기술서 전체'!$B:$L,11,0)="O", "외부O", IF(VLOOKUP($D899,'3. 요건기술서 전체'!$B:$L,11,0)="X", "외부X", "")),"")),"")</f>
        <v/>
      </c>
      <c r="H899" s="37" t="s">
        <v>465</v>
      </c>
    </row>
    <row r="900" spans="2:8" x14ac:dyDescent="0.3">
      <c r="B900" s="94" t="s">
        <v>43</v>
      </c>
      <c r="C900" s="95"/>
      <c r="D900" s="85" t="str">
        <f>VLOOKUP($D899,'3. 요건기술서 전체'!$B:$L,5,0)</f>
        <v>시스템 무중단 운영</v>
      </c>
      <c r="E900" s="86"/>
      <c r="F900" s="87"/>
      <c r="H900" s="37" t="s">
        <v>466</v>
      </c>
    </row>
    <row r="901" spans="2:8" x14ac:dyDescent="0.3">
      <c r="B901" s="98" t="s">
        <v>44</v>
      </c>
      <c r="C901" s="43" t="s">
        <v>45</v>
      </c>
      <c r="D901" s="85" t="str">
        <f>VLOOKUP($D899,'3. 요건기술서 전체'!$B:$L,7,0)</f>
        <v>시스템 무중단 운영 사항</v>
      </c>
      <c r="E901" s="86"/>
      <c r="F901" s="87"/>
      <c r="H901" s="37" t="s">
        <v>603</v>
      </c>
    </row>
    <row r="902" spans="2:8" ht="51" x14ac:dyDescent="0.3">
      <c r="B902" s="98"/>
      <c r="C902" s="43" t="s">
        <v>46</v>
      </c>
      <c r="D902" s="85" t="str">
        <f>VLOOKUP($D899,'3. 요건기술서 전체'!$B:$L,8,0)</f>
        <v>○ 시스템 무중단 운영
 - 시스템은 주 7일, 일일 24시간 무중단 서비스를 제공해야 함
 - 시스템 일부 장애로 전체 서비스 중단 영향 방지  
 - 서비스 무중단을 보장하는 이중화 구성 제안</v>
      </c>
      <c r="E902" s="86"/>
      <c r="F902" s="87"/>
      <c r="H902" s="37" t="s">
        <v>856</v>
      </c>
    </row>
    <row r="903" spans="2:8" x14ac:dyDescent="0.3">
      <c r="B903" s="90" t="s">
        <v>871</v>
      </c>
      <c r="C903" s="91"/>
      <c r="D903" s="88">
        <f>VLOOKUP(D899, '3. 요건기술서 전체'!$B:$L, 9, 0)</f>
        <v>0</v>
      </c>
      <c r="E903" s="88"/>
      <c r="F903" s="89"/>
      <c r="H903" s="44">
        <v>0</v>
      </c>
    </row>
    <row r="904" spans="2:8" ht="15.75" thickBot="1" x14ac:dyDescent="0.35">
      <c r="B904" s="92" t="s">
        <v>47</v>
      </c>
      <c r="C904" s="93"/>
      <c r="D904" s="99">
        <f>VLOOKUP($D899,'3. 요건기술서 전체'!$B:$L,2,0)</f>
        <v>0</v>
      </c>
      <c r="E904" s="100"/>
      <c r="F904" s="101"/>
      <c r="H904" s="36">
        <v>0</v>
      </c>
    </row>
    <row r="905" spans="2:8" ht="15.75" thickBot="1" x14ac:dyDescent="0.35">
      <c r="H905" s="36"/>
    </row>
    <row r="906" spans="2:8" x14ac:dyDescent="0.3">
      <c r="B906" s="96" t="s">
        <v>41</v>
      </c>
      <c r="C906" s="97"/>
      <c r="D906" s="30" t="str">
        <f>D898</f>
        <v>품질 요구사항</v>
      </c>
      <c r="E906" s="31" t="s">
        <v>131</v>
      </c>
      <c r="F906" s="32" t="str">
        <f>VLOOKUP($D907,'3. 요건기술서 전체'!$B:$L,6,0)</f>
        <v>필수</v>
      </c>
      <c r="H906" s="37" t="s">
        <v>700</v>
      </c>
    </row>
    <row r="907" spans="2:8" x14ac:dyDescent="0.3">
      <c r="B907" s="94" t="s">
        <v>42</v>
      </c>
      <c r="C907" s="95"/>
      <c r="D907" s="33" t="str">
        <f>LEFT(D899,3)&amp;"-"&amp;TEXT(VALUE(RIGHT(D899,3))+1,"000")</f>
        <v>QUR-004</v>
      </c>
      <c r="E907" s="34" t="s">
        <v>85</v>
      </c>
      <c r="F907" s="35" t="str">
        <f>IFERROR(TRIM(IF(VLOOKUP($D907,'3. 요건기술서 전체'!$B:$L,10,0)&lt;&gt;"",IF(VLOOKUP($D907,'3. 요건기술서 전체'!$B:$L,10,0)="O", "한난O", IF(VLOOKUP($D907,'3. 요건기술서 전체'!$B:$L,10,0)="X", "한난X", "")),"") &amp; " " &amp;IF(VLOOKUP($D907,'3. 요건기술서 전체'!$B:$L,11,0)&lt;&gt;"",IF(VLOOKUP($D907,'3. 요건기술서 전체'!$B:$L,11,0)="O", "외부O", IF(VLOOKUP($D907,'3. 요건기술서 전체'!$B:$L,11,0)="X", "외부X", "")),"")),"")</f>
        <v/>
      </c>
      <c r="H907" s="37" t="s">
        <v>467</v>
      </c>
    </row>
    <row r="908" spans="2:8" x14ac:dyDescent="0.3">
      <c r="B908" s="94" t="s">
        <v>43</v>
      </c>
      <c r="C908" s="95"/>
      <c r="D908" s="85" t="str">
        <f>VLOOKUP($D907,'3. 요건기술서 전체'!$B:$L,5,0)</f>
        <v>품질관리 일반요건</v>
      </c>
      <c r="E908" s="86"/>
      <c r="F908" s="87"/>
      <c r="H908" s="37" t="s">
        <v>468</v>
      </c>
    </row>
    <row r="909" spans="2:8" x14ac:dyDescent="0.3">
      <c r="B909" s="98" t="s">
        <v>44</v>
      </c>
      <c r="C909" s="43" t="s">
        <v>45</v>
      </c>
      <c r="D909" s="85" t="str">
        <f>VLOOKUP($D907,'3. 요건기술서 전체'!$B:$L,7,0)</f>
        <v>품질관리 일반요건 사항</v>
      </c>
      <c r="E909" s="86"/>
      <c r="F909" s="87"/>
      <c r="H909" s="37" t="s">
        <v>604</v>
      </c>
    </row>
    <row r="910" spans="2:8" ht="38.25" x14ac:dyDescent="0.3">
      <c r="B910" s="98"/>
      <c r="C910" s="43" t="s">
        <v>46</v>
      </c>
      <c r="D910" s="85" t="str">
        <f>VLOOKUP($D907,'3. 요건기술서 전체'!$B:$L,8,0)</f>
        <v>○ 품질관리 일반요건
 - 시스템의 안정성과 신뢰성 확보, 장애시간의 최소화를 위해 기본적인 장애진단, 장애복구, 장애대책 기능을 제공하여야 함
 - 물리적/논리적 장애복구, 유지관리지원 서비스 체계를 구축하여야 함</v>
      </c>
      <c r="E910" s="86"/>
      <c r="F910" s="87"/>
      <c r="H910" s="44" t="s">
        <v>1097</v>
      </c>
    </row>
    <row r="911" spans="2:8" x14ac:dyDescent="0.3">
      <c r="B911" s="90" t="s">
        <v>871</v>
      </c>
      <c r="C911" s="91"/>
      <c r="D911" s="88">
        <f>VLOOKUP(D907, '3. 요건기술서 전체'!$B:$L, 9, 0)</f>
        <v>0</v>
      </c>
      <c r="E911" s="88"/>
      <c r="F911" s="89"/>
      <c r="H911" s="36">
        <v>0</v>
      </c>
    </row>
    <row r="912" spans="2:8" ht="15.75" thickBot="1" x14ac:dyDescent="0.35">
      <c r="B912" s="92" t="s">
        <v>47</v>
      </c>
      <c r="C912" s="93"/>
      <c r="D912" s="99">
        <f>VLOOKUP($D907,'3. 요건기술서 전체'!$B:$L,2,0)</f>
        <v>0</v>
      </c>
      <c r="E912" s="100"/>
      <c r="F912" s="101"/>
      <c r="H912" s="36">
        <v>0</v>
      </c>
    </row>
    <row r="913" spans="2:8" ht="15.75" thickBot="1" x14ac:dyDescent="0.35">
      <c r="H913" s="37"/>
    </row>
    <row r="914" spans="2:8" x14ac:dyDescent="0.3">
      <c r="B914" s="96" t="s">
        <v>41</v>
      </c>
      <c r="C914" s="97"/>
      <c r="D914" s="30" t="s">
        <v>140</v>
      </c>
      <c r="E914" s="31" t="s">
        <v>131</v>
      </c>
      <c r="F914" s="32" t="str">
        <f>VLOOKUP($D915,'3. 요건기술서 전체'!$B:$L,6,0)</f>
        <v>필수</v>
      </c>
      <c r="H914" s="37" t="s">
        <v>701</v>
      </c>
    </row>
    <row r="915" spans="2:8" x14ac:dyDescent="0.3">
      <c r="B915" s="94" t="s">
        <v>42</v>
      </c>
      <c r="C915" s="95"/>
      <c r="D915" s="33" t="s">
        <v>519</v>
      </c>
      <c r="E915" s="34" t="s">
        <v>85</v>
      </c>
      <c r="F915" s="35" t="str">
        <f>IFERROR(TRIM(IF(VLOOKUP($D915,'3. 요건기술서 전체'!$B:$L,10,0)&lt;&gt;"",IF(VLOOKUP($D915,'3. 요건기술서 전체'!$B:$L,10,0)="O", "한난O", IF(VLOOKUP($D915,'3. 요건기술서 전체'!$B:$L,10,0)="X", "한난X", "")),"") &amp; " " &amp;IF(VLOOKUP($D915,'3. 요건기술서 전체'!$B:$L,11,0)&lt;&gt;"",IF(VLOOKUP($D915,'3. 요건기술서 전체'!$B:$L,11,0)="O", "외부O", IF(VLOOKUP($D915,'3. 요건기술서 전체'!$B:$L,11,0)="X", "외부X", "")),"")),"")</f>
        <v/>
      </c>
      <c r="H915" s="37" t="s">
        <v>469</v>
      </c>
    </row>
    <row r="916" spans="2:8" x14ac:dyDescent="0.3">
      <c r="B916" s="94" t="s">
        <v>43</v>
      </c>
      <c r="C916" s="95"/>
      <c r="D916" s="85" t="str">
        <f>VLOOKUP($D915,'3. 요건기술서 전체'!$B:$L,5,0)</f>
        <v>시스템 연계</v>
      </c>
      <c r="E916" s="86"/>
      <c r="F916" s="87"/>
      <c r="H916" s="37" t="s">
        <v>470</v>
      </c>
    </row>
    <row r="917" spans="2:8" x14ac:dyDescent="0.3">
      <c r="B917" s="98" t="s">
        <v>44</v>
      </c>
      <c r="C917" s="43" t="s">
        <v>45</v>
      </c>
      <c r="D917" s="85" t="str">
        <f>VLOOKUP($D915,'3. 요건기술서 전체'!$B:$L,7,0)</f>
        <v>관련 시스템 연계</v>
      </c>
      <c r="E917" s="86"/>
      <c r="F917" s="87"/>
      <c r="H917" s="44" t="s">
        <v>605</v>
      </c>
    </row>
    <row r="918" spans="2:8" ht="291.75" customHeight="1" x14ac:dyDescent="0.3">
      <c r="B918" s="98"/>
      <c r="C918" s="43" t="s">
        <v>46</v>
      </c>
      <c r="D918" s="102" t="str">
        <f>VLOOKUP($D915,'3. 요건기술서 전체'!$B:$L,8,0)</f>
        <v>○ 시스템 연계(공통)
 - 우리공사 SSO(Policy Server / Safe Agent / 인증 토큰) 방식 지원
 - 조직 정보는 인사DB 연계·활용
 - 연계한 인사DB의 조직 정보 外, 사용자별 보직, 과 등의 설정 기능
 - 전자결재 / 전자계약 / SAP 와 연계해야 하는 업무는 사용자가 시스템 간 이동없이 모든 연관 업무를 본 시스템에서 등록·수정·조회 실시간 연계
. [일반 업무 연계] 전자결재 연계 : 87 건, 전자계약 연계 : 30 건, SAP 연계 : 61 건
. [수입 업무 연계] 전자결재 연계 9 건, SAP 연계 15 건
. [수출 업무 연계] 전자결재 연계 2 건, SAP 연계 9 건
. 연계 업무 대상은 사업 진행 시, 축소/확대될 수 있음)
. 전자결재 시스템 : 나눔기술 Smart Portal &amp; Smart Flow, 전자계약 시스템 : 엠로 Smart Suite, ERP : SAP ECC 6.0, 한난맵 : 브이엔지, 스마트안전 : 리스크제로
 - 전자결재 시스템 연계·처리 시, 전체 진행 단계 중 현재 단계, 첨부 문서 확인 기능 제공
 - 전자계약 시스템 연계·처리 시, 처리 상태, 진행 단계 등의 정보를 계약 건별 확인 기능 제공
○ SAP 연계
 - SAP 와 연계·처리 시, 우리 공사 SAP 연계 표준 준수 필수
 - SAP ERP(MM, FI/CO) 연동 시 단순 수량 증감을 넘어 회계전표 생성을 위한 정합성 검증 로직 포함 및 인터페이스에 실패한 재처리 모니터링 UI 제공
○ 공사 제공 상용SW(DRM, 리포팅 툴 등)의 인터페이스 구현 및 설치·운영 기술지원 협력 수행 포함
○ 관세청 UNI-PASS Open-API를 연계하여 지사/부서별 인증키 및 부호코드를 기반으로 수출입 통관 상태를 조회하고, 시스템 차단 방지를 위한 호출 주기 최적화 및 보안 관리 기능을 구현해야 함.
○ 레거시(Legacy) 시스템 연계 개발 포함 
○ 시스템 간 연계 실효성 확보
 -  유관부서와 협의하여 어떤 데이터를 주고받을지, 원데이터 보유 시스템이 어디인지에 대한 구체적 검토를 수행하고 현실 가능한 통합 프로세스를 설계해야 함.
(CNR-003) - 연계 처리를 위해 SAP 프로그램 변경 필요 시, 컨설턴트 및 개발 용역 제안 필수</v>
      </c>
      <c r="E918" s="103"/>
      <c r="F918" s="104"/>
      <c r="H918" s="36" t="s">
        <v>1098</v>
      </c>
    </row>
    <row r="919" spans="2:8" x14ac:dyDescent="0.3">
      <c r="B919" s="90" t="s">
        <v>871</v>
      </c>
      <c r="C919" s="91"/>
      <c r="D919" s="88" t="str">
        <f>VLOOKUP(D915, '3. 요건기술서 전체'!$B:$L, 9, 0)</f>
        <v>인터페이스 정의서</v>
      </c>
      <c r="E919" s="88"/>
      <c r="F919" s="89"/>
      <c r="H919" s="36" t="s">
        <v>1099</v>
      </c>
    </row>
    <row r="920" spans="2:8" ht="15.75" thickBot="1" x14ac:dyDescent="0.35">
      <c r="B920" s="92" t="s">
        <v>47</v>
      </c>
      <c r="C920" s="93"/>
      <c r="D920" s="99">
        <f>VLOOKUP($D915,'3. 요건기술서 전체'!$B:$L,2,0)</f>
        <v>0</v>
      </c>
      <c r="E920" s="100"/>
      <c r="F920" s="101"/>
      <c r="H920" s="37">
        <v>0</v>
      </c>
    </row>
    <row r="921" spans="2:8" ht="15.75" thickBot="1" x14ac:dyDescent="0.35">
      <c r="H921" s="37"/>
    </row>
    <row r="922" spans="2:8" x14ac:dyDescent="0.3">
      <c r="B922" s="96" t="s">
        <v>41</v>
      </c>
      <c r="C922" s="97"/>
      <c r="D922" s="30" t="str">
        <f>D914</f>
        <v>인터페이스 요구사항</v>
      </c>
      <c r="E922" s="31" t="s">
        <v>131</v>
      </c>
      <c r="F922" s="32" t="str">
        <f>VLOOKUP($D923,'3. 요건기술서 전체'!$B:$L,6,0)</f>
        <v>필수</v>
      </c>
      <c r="H922" s="37" t="s">
        <v>701</v>
      </c>
    </row>
    <row r="923" spans="2:8" x14ac:dyDescent="0.3">
      <c r="B923" s="94" t="s">
        <v>42</v>
      </c>
      <c r="C923" s="95"/>
      <c r="D923" s="33" t="str">
        <f>LEFT(D915,3)&amp;"-"&amp;TEXT(VALUE(RIGHT(D915,3))+1,"000")</f>
        <v>INR-002</v>
      </c>
      <c r="E923" s="34" t="s">
        <v>85</v>
      </c>
      <c r="F923" s="35" t="str">
        <f>IFERROR(TRIM(IF(VLOOKUP($D923,'3. 요건기술서 전체'!$B:$L,10,0)&lt;&gt;"",IF(VLOOKUP($D923,'3. 요건기술서 전체'!$B:$L,10,0)="O", "한난O", IF(VLOOKUP($D923,'3. 요건기술서 전체'!$B:$L,10,0)="X", "한난X", "")),"") &amp; " " &amp;IF(VLOOKUP($D923,'3. 요건기술서 전체'!$B:$L,11,0)&lt;&gt;"",IF(VLOOKUP($D923,'3. 요건기술서 전체'!$B:$L,11,0)="O", "외부O", IF(VLOOKUP($D923,'3. 요건기술서 전체'!$B:$L,11,0)="X", "외부X", "")),"")),"")</f>
        <v/>
      </c>
      <c r="H923" s="37" t="s">
        <v>471</v>
      </c>
    </row>
    <row r="924" spans="2:8" x14ac:dyDescent="0.3">
      <c r="B924" s="94" t="s">
        <v>43</v>
      </c>
      <c r="C924" s="95"/>
      <c r="D924" s="85" t="str">
        <f>VLOOKUP($D923,'3. 요건기술서 전체'!$B:$L,5,0)</f>
        <v>인터페이스 설계</v>
      </c>
      <c r="E924" s="86"/>
      <c r="F924" s="87"/>
      <c r="H924" s="44" t="s">
        <v>472</v>
      </c>
    </row>
    <row r="925" spans="2:8" x14ac:dyDescent="0.3">
      <c r="B925" s="98" t="s">
        <v>44</v>
      </c>
      <c r="C925" s="43" t="s">
        <v>45</v>
      </c>
      <c r="D925" s="85" t="str">
        <f>VLOOKUP($D923,'3. 요건기술서 전체'!$B:$L,7,0)</f>
        <v>인터페이스 설계</v>
      </c>
      <c r="E925" s="86"/>
      <c r="F925" s="87"/>
      <c r="H925" s="36" t="s">
        <v>472</v>
      </c>
    </row>
    <row r="926" spans="2:8" ht="38.25" x14ac:dyDescent="0.3">
      <c r="B926" s="98"/>
      <c r="C926" s="43" t="s">
        <v>46</v>
      </c>
      <c r="D926" s="85" t="str">
        <f>VLOOKUP($D923,'3. 요건기술서 전체'!$B:$L,8,0)</f>
        <v>○ SAP ECC 6.0 연계를 위한 SAP 컨설턴트 및 ABAP 개발자
 - 컨설턴트 : SAP CBO 분석 및 설계
 - ABAP 개발자 : STD, CBO 개발 및 EAI 작성</v>
      </c>
      <c r="E926" s="86"/>
      <c r="F926" s="87"/>
      <c r="H926" s="36" t="s">
        <v>1100</v>
      </c>
    </row>
    <row r="927" spans="2:8" x14ac:dyDescent="0.3">
      <c r="B927" s="90" t="s">
        <v>871</v>
      </c>
      <c r="C927" s="91"/>
      <c r="D927" s="88">
        <f>VLOOKUP(D923, '3. 요건기술서 전체'!$B:$L, 9, 0)</f>
        <v>0</v>
      </c>
      <c r="E927" s="88"/>
      <c r="F927" s="89"/>
      <c r="H927" s="37">
        <v>0</v>
      </c>
    </row>
    <row r="928" spans="2:8" ht="15.75" thickBot="1" x14ac:dyDescent="0.35">
      <c r="B928" s="92" t="s">
        <v>47</v>
      </c>
      <c r="C928" s="93"/>
      <c r="D928" s="99">
        <f>VLOOKUP($D923,'3. 요건기술서 전체'!$B:$L,2,0)</f>
        <v>0</v>
      </c>
      <c r="E928" s="100"/>
      <c r="F928" s="101"/>
      <c r="H928" s="37">
        <v>0</v>
      </c>
    </row>
    <row r="929" spans="2:8" ht="15.75" thickBot="1" x14ac:dyDescent="0.35">
      <c r="H929" s="37"/>
    </row>
    <row r="930" spans="2:8" x14ac:dyDescent="0.3">
      <c r="B930" s="96" t="s">
        <v>41</v>
      </c>
      <c r="C930" s="97"/>
      <c r="D930" s="30" t="s">
        <v>142</v>
      </c>
      <c r="E930" s="31" t="s">
        <v>131</v>
      </c>
      <c r="F930" s="32" t="str">
        <f>VLOOKUP($D931,'3. 요건기술서 전체'!$B:$L,6,0)</f>
        <v>필수</v>
      </c>
      <c r="H930" s="37" t="s">
        <v>702</v>
      </c>
    </row>
    <row r="931" spans="2:8" x14ac:dyDescent="0.3">
      <c r="B931" s="94" t="s">
        <v>42</v>
      </c>
      <c r="C931" s="95"/>
      <c r="D931" s="33" t="s">
        <v>520</v>
      </c>
      <c r="E931" s="34" t="s">
        <v>85</v>
      </c>
      <c r="F931" s="35" t="str">
        <f>IFERROR(TRIM(IF(VLOOKUP($D931,'3. 요건기술서 전체'!$B:$L,10,0)&lt;&gt;"",IF(VLOOKUP($D931,'3. 요건기술서 전체'!$B:$L,10,0)="O", "한난O", IF(VLOOKUP($D931,'3. 요건기술서 전체'!$B:$L,10,0)="X", "한난X", "")),"") &amp; " " &amp;IF(VLOOKUP($D931,'3. 요건기술서 전체'!$B:$L,11,0)&lt;&gt;"",IF(VLOOKUP($D931,'3. 요건기술서 전체'!$B:$L,11,0)="O", "외부O", IF(VLOOKUP($D931,'3. 요건기술서 전체'!$B:$L,11,0)="X", "외부X", "")),"")),"")</f>
        <v/>
      </c>
      <c r="H931" s="44" t="s">
        <v>473</v>
      </c>
    </row>
    <row r="932" spans="2:8" x14ac:dyDescent="0.3">
      <c r="B932" s="94" t="s">
        <v>43</v>
      </c>
      <c r="C932" s="95"/>
      <c r="D932" s="85" t="str">
        <f>VLOOKUP($D931,'3. 요건기술서 전체'!$B:$L,5,0)</f>
        <v>테스트 방안 제시</v>
      </c>
      <c r="E932" s="86"/>
      <c r="F932" s="87"/>
      <c r="H932" s="36" t="s">
        <v>474</v>
      </c>
    </row>
    <row r="933" spans="2:8" x14ac:dyDescent="0.3">
      <c r="B933" s="98" t="s">
        <v>44</v>
      </c>
      <c r="C933" s="43" t="s">
        <v>45</v>
      </c>
      <c r="D933" s="85" t="str">
        <f>VLOOKUP($D931,'3. 요건기술서 전체'!$B:$L,7,0)</f>
        <v>단위/통합테스트 등에 대한 효율적 방안 제시</v>
      </c>
      <c r="E933" s="86"/>
      <c r="F933" s="87"/>
      <c r="H933" s="36" t="s">
        <v>606</v>
      </c>
    </row>
    <row r="934" spans="2:8" ht="89.25" x14ac:dyDescent="0.3">
      <c r="B934" s="98"/>
      <c r="C934" s="43" t="s">
        <v>46</v>
      </c>
      <c r="D934" s="85" t="str">
        <f>VLOOKUP($D931,'3. 요건기술서 전체'!$B:$L,8,0)</f>
        <v>○ 본 사업의 단위테스트, 통합테스트 등에 대한 테스트 방안(요구사항별 적합, 부적합 판정) 제시
○ 품질 요건을 충족하는 테스트 방안을 제시해야 함
○ 테스트 방안은 다음과 같은 세부적인 사항을 포함하여야 함
 - 발생 가능한 시나리오 기반 테스트 데이터(오류 데이터 포함) 입력
 - 단위테스트는 개발자 본인 및 동료테스트 실시
 - 통합테스트는 시연과 함께 진행되도록 지원
 - 테스트 수행 결과를 기록하여 발주자에게 제출하여야 함</v>
      </c>
      <c r="E934" s="86"/>
      <c r="F934" s="87"/>
      <c r="H934" s="37" t="s">
        <v>857</v>
      </c>
    </row>
    <row r="935" spans="2:8" x14ac:dyDescent="0.3">
      <c r="B935" s="90" t="s">
        <v>871</v>
      </c>
      <c r="C935" s="91"/>
      <c r="D935" s="88" t="str">
        <f>VLOOKUP(D931, '3. 요건기술서 전체'!$B:$L, 9, 0)</f>
        <v>단위/통합테스트 계획서</v>
      </c>
      <c r="E935" s="88"/>
      <c r="F935" s="89"/>
      <c r="H935" s="37" t="s">
        <v>877</v>
      </c>
    </row>
    <row r="936" spans="2:8" ht="15.75" thickBot="1" x14ac:dyDescent="0.35">
      <c r="B936" s="92" t="s">
        <v>47</v>
      </c>
      <c r="C936" s="93"/>
      <c r="D936" s="99">
        <f>VLOOKUP($D931,'3. 요건기술서 전체'!$B:$L,2,0)</f>
        <v>0</v>
      </c>
      <c r="E936" s="100"/>
      <c r="F936" s="101"/>
      <c r="H936" s="37">
        <v>0</v>
      </c>
    </row>
    <row r="937" spans="2:8" ht="15.75" thickBot="1" x14ac:dyDescent="0.35">
      <c r="H937" s="37"/>
    </row>
    <row r="938" spans="2:8" x14ac:dyDescent="0.3">
      <c r="B938" s="96" t="s">
        <v>41</v>
      </c>
      <c r="C938" s="97"/>
      <c r="D938" s="30" t="str">
        <f>D930</f>
        <v>테스트 요구사항</v>
      </c>
      <c r="E938" s="31" t="s">
        <v>131</v>
      </c>
      <c r="F938" s="32" t="str">
        <f>VLOOKUP($D939,'3. 요건기술서 전체'!$B:$L,6,0)</f>
        <v>필수</v>
      </c>
      <c r="H938" s="44" t="s">
        <v>702</v>
      </c>
    </row>
    <row r="939" spans="2:8" x14ac:dyDescent="0.3">
      <c r="B939" s="94" t="s">
        <v>42</v>
      </c>
      <c r="C939" s="95"/>
      <c r="D939" s="33" t="str">
        <f>LEFT(D931,3)&amp;"-"&amp;TEXT(VALUE(RIGHT(D931,3))+1,"000")</f>
        <v>TER-002</v>
      </c>
      <c r="E939" s="34" t="s">
        <v>85</v>
      </c>
      <c r="F939" s="35" t="str">
        <f>IFERROR(TRIM(IF(VLOOKUP($D939,'3. 요건기술서 전체'!$B:$L,10,0)&lt;&gt;"",IF(VLOOKUP($D939,'3. 요건기술서 전체'!$B:$L,10,0)="O", "한난O", IF(VLOOKUP($D939,'3. 요건기술서 전체'!$B:$L,10,0)="X", "한난X", "")),"") &amp; " " &amp;IF(VLOOKUP($D939,'3. 요건기술서 전체'!$B:$L,11,0)&lt;&gt;"",IF(VLOOKUP($D939,'3. 요건기술서 전체'!$B:$L,11,0)="O", "외부O", IF(VLOOKUP($D939,'3. 요건기술서 전체'!$B:$L,11,0)="X", "외부X", "")),"")),"")</f>
        <v/>
      </c>
      <c r="H939" s="36" t="s">
        <v>475</v>
      </c>
    </row>
    <row r="940" spans="2:8" x14ac:dyDescent="0.3">
      <c r="B940" s="94" t="s">
        <v>43</v>
      </c>
      <c r="C940" s="95"/>
      <c r="D940" s="85" t="str">
        <f>VLOOKUP($D939,'3. 요건기술서 전체'!$B:$L,5,0)</f>
        <v>테스트 수행 및 결과 보고</v>
      </c>
      <c r="E940" s="86"/>
      <c r="F940" s="87"/>
      <c r="H940" s="36" t="s">
        <v>476</v>
      </c>
    </row>
    <row r="941" spans="2:8" x14ac:dyDescent="0.3">
      <c r="B941" s="98" t="s">
        <v>44</v>
      </c>
      <c r="C941" s="43" t="s">
        <v>45</v>
      </c>
      <c r="D941" s="85" t="str">
        <f>VLOOKUP($D939,'3. 요건기술서 전체'!$B:$L,7,0)</f>
        <v>테스트 수행 및 결과보고</v>
      </c>
      <c r="E941" s="86"/>
      <c r="F941" s="87"/>
      <c r="H941" s="37" t="s">
        <v>607</v>
      </c>
    </row>
    <row r="942" spans="2:8" ht="51" x14ac:dyDescent="0.3">
      <c r="B942" s="98"/>
      <c r="C942" s="43" t="s">
        <v>46</v>
      </c>
      <c r="D942" s="85" t="str">
        <f>VLOOKUP($D939,'3. 요건기술서 전체'!$B:$L,8,0)</f>
        <v>○ 개발초기부터 구축 완료까지 지속적으로 테스트를 실시하여야 하며 테스트 결과의 모니터링 및 테스트 결과를 계속적으로 반영
○ 단위테스트는 수행팀이 1차 자체적으로 수행하고 결과 보고
○ 통합테스트는 수행팀 주관으로 현업 입회 하에 실시하는 것을 원칙으로 하며, 세부 사항은 협의 후 실시
○ 통합테스트는 구축한 시스템을 품질서버에 적용하여 수행팀 주관으로 수행 후 결과 보고</v>
      </c>
      <c r="E942" s="86"/>
      <c r="F942" s="87"/>
      <c r="H942" s="37" t="s">
        <v>608</v>
      </c>
    </row>
    <row r="943" spans="2:8" x14ac:dyDescent="0.3">
      <c r="B943" s="90" t="s">
        <v>871</v>
      </c>
      <c r="C943" s="91"/>
      <c r="D943" s="88" t="str">
        <f>VLOOKUP(D939, '3. 요건기술서 전체'!$B:$L, 9, 0)</f>
        <v>단위/통합테스트 결과서</v>
      </c>
      <c r="E943" s="88"/>
      <c r="F943" s="89"/>
      <c r="H943" s="37" t="s">
        <v>878</v>
      </c>
    </row>
    <row r="944" spans="2:8" ht="15.75" thickBot="1" x14ac:dyDescent="0.35">
      <c r="B944" s="92" t="s">
        <v>47</v>
      </c>
      <c r="C944" s="93"/>
      <c r="D944" s="99">
        <f>VLOOKUP($D939,'3. 요건기술서 전체'!$B:$L,2,0)</f>
        <v>0</v>
      </c>
      <c r="E944" s="100"/>
      <c r="F944" s="101"/>
      <c r="H944" s="37">
        <v>0</v>
      </c>
    </row>
    <row r="945" spans="2:8" ht="15.75" thickBot="1" x14ac:dyDescent="0.35"/>
    <row r="946" spans="2:8" x14ac:dyDescent="0.3">
      <c r="B946" s="96" t="s">
        <v>41</v>
      </c>
      <c r="C946" s="97"/>
      <c r="D946" s="30" t="s">
        <v>221</v>
      </c>
      <c r="E946" s="31" t="s">
        <v>131</v>
      </c>
      <c r="F946" s="32" t="str">
        <f>VLOOKUP($D947,'3. 요건기술서 전체'!$B:$L,6,0)</f>
        <v>필수</v>
      </c>
      <c r="H946" s="36" t="s">
        <v>703</v>
      </c>
    </row>
    <row r="947" spans="2:8" x14ac:dyDescent="0.3">
      <c r="B947" s="94" t="s">
        <v>42</v>
      </c>
      <c r="C947" s="95"/>
      <c r="D947" s="33" t="s">
        <v>521</v>
      </c>
      <c r="E947" s="34" t="s">
        <v>85</v>
      </c>
      <c r="F947" s="35" t="str">
        <f>IFERROR(TRIM(IF(VLOOKUP($D947,'3. 요건기술서 전체'!$B:$L,10,0)&lt;&gt;"",IF(VLOOKUP($D947,'3. 요건기술서 전체'!$B:$L,10,0)="O", "한난O", IF(VLOOKUP($D947,'3. 요건기술서 전체'!$B:$L,10,0)="X", "한난X", "")),"") &amp; " " &amp;IF(VLOOKUP($D947,'3. 요건기술서 전체'!$B:$L,11,0)&lt;&gt;"",IF(VLOOKUP($D947,'3. 요건기술서 전체'!$B:$L,11,0)="O", "외부O", IF(VLOOKUP($D947,'3. 요건기술서 전체'!$B:$L,11,0)="X", "외부X", "")),"")),"")</f>
        <v/>
      </c>
      <c r="H947" s="36" t="s">
        <v>477</v>
      </c>
    </row>
    <row r="948" spans="2:8" x14ac:dyDescent="0.3">
      <c r="B948" s="94" t="s">
        <v>43</v>
      </c>
      <c r="C948" s="95"/>
      <c r="D948" s="85" t="str">
        <f>VLOOKUP($D947,'3. 요건기술서 전체'!$B:$L,5,0)</f>
        <v>사업 수행계획</v>
      </c>
      <c r="E948" s="86"/>
      <c r="F948" s="87"/>
      <c r="H948" s="37" t="s">
        <v>478</v>
      </c>
    </row>
    <row r="949" spans="2:8" x14ac:dyDescent="0.3">
      <c r="B949" s="98" t="s">
        <v>44</v>
      </c>
      <c r="C949" s="43" t="s">
        <v>45</v>
      </c>
      <c r="D949" s="85" t="str">
        <f>VLOOKUP($D947,'3. 요건기술서 전체'!$B:$L,7,0)</f>
        <v>착수 및 과업수행계획</v>
      </c>
      <c r="E949" s="86"/>
      <c r="F949" s="87"/>
      <c r="H949" s="37" t="s">
        <v>609</v>
      </c>
    </row>
    <row r="950" spans="2:8" ht="204" x14ac:dyDescent="0.3">
      <c r="B950" s="98"/>
      <c r="C950" s="43" t="s">
        <v>46</v>
      </c>
      <c r="D950" s="85" t="str">
        <f>VLOOKUP($D947,'3. 요건기술서 전체'!$B:$L,8,0)</f>
        <v>○ 수행사는 계약일로부터 공사 지정 기한 이내 다음 사항을 포함하여 착수계 제출
 - 사업수행책임자(PM) 선임관련 서류(재직증명서, 이력서 등)
 - 법인 사용인감계
 - 인력투입계획 및 증빙사항(투입인력 명단, 경력 확인(재직증명서, 이력서 등) 서류
 - 예정공정표 등 용역 수행 계획서 검토용
 - 보안관련 서류(보안각서, 보안서약서, 정보보호 서약서 등)
 - 청렴서약서
 - 기타 공사에서 요구하는 사항
○ 수행사는 계약일로부터 공사 지정 기한 이내 다음 사항을 포함하여 과업수행계획서 제출
 - 사업범위, 수행조직 및 세부 업무분장
 - 과업내용, 과업수행계획/절차 및 공정관리계획
 - 성과물 제출계획을 포함한 사업수행 예정공정표 (WBS)
 - 공정별 인력 투입계획 (인적사항, 업무내용, 참여기간 등)
 - 참여인력 및 지원조직(본사, 외부 등) 비상연락체계
 - 보안대책 및 위험관리, 단계별 성과물 제출계획
 - 품질보증 및 기타 공사가 요구하는 사항</v>
      </c>
      <c r="E950" s="86"/>
      <c r="F950" s="87"/>
      <c r="H950" s="37" t="s">
        <v>858</v>
      </c>
    </row>
    <row r="951" spans="2:8" x14ac:dyDescent="0.3">
      <c r="B951" s="90" t="s">
        <v>871</v>
      </c>
      <c r="C951" s="91"/>
      <c r="D951" s="88" t="str">
        <f>VLOOKUP(D947, '3. 요건기술서 전체'!$B:$L, 9, 0)</f>
        <v>착수계(착수신고서, 사업수행계획서, 품질보증계획서, 위험관리계획서,WBS 등)</v>
      </c>
      <c r="E951" s="88"/>
      <c r="F951" s="89"/>
      <c r="H951" s="37" t="s">
        <v>1043</v>
      </c>
    </row>
    <row r="952" spans="2:8" ht="15.75" thickBot="1" x14ac:dyDescent="0.35">
      <c r="B952" s="92" t="s">
        <v>47</v>
      </c>
      <c r="C952" s="93"/>
      <c r="D952" s="99">
        <f>VLOOKUP($D947,'3. 요건기술서 전체'!$B:$L,2,0)</f>
        <v>0</v>
      </c>
      <c r="E952" s="100"/>
      <c r="F952" s="101"/>
      <c r="H952" s="44">
        <v>0</v>
      </c>
    </row>
    <row r="953" spans="2:8" ht="15.75" thickBot="1" x14ac:dyDescent="0.35">
      <c r="H953" s="36"/>
    </row>
    <row r="954" spans="2:8" x14ac:dyDescent="0.3">
      <c r="B954" s="96" t="s">
        <v>41</v>
      </c>
      <c r="C954" s="97"/>
      <c r="D954" s="30" t="str">
        <f>D946</f>
        <v>관리방법론</v>
      </c>
      <c r="E954" s="31" t="s">
        <v>131</v>
      </c>
      <c r="F954" s="32" t="str">
        <f>VLOOKUP($D955,'3. 요건기술서 전체'!$B:$L,6,0)</f>
        <v>필수</v>
      </c>
      <c r="H954" s="36" t="s">
        <v>703</v>
      </c>
    </row>
    <row r="955" spans="2:8" x14ac:dyDescent="0.3">
      <c r="B955" s="94" t="s">
        <v>42</v>
      </c>
      <c r="C955" s="95"/>
      <c r="D955" s="33" t="str">
        <f>LEFT(D947,3)&amp;"-"&amp;TEXT(VALUE(RIGHT(D947,3))+1,"000")</f>
        <v>PMR-002</v>
      </c>
      <c r="E955" s="34" t="s">
        <v>85</v>
      </c>
      <c r="F955" s="35" t="str">
        <f>IFERROR(TRIM(IF(VLOOKUP($D955,'3. 요건기술서 전체'!$B:$L,10,0)&lt;&gt;"",IF(VLOOKUP($D955,'3. 요건기술서 전체'!$B:$L,10,0)="O", "한난O", IF(VLOOKUP($D955,'3. 요건기술서 전체'!$B:$L,10,0)="X", "한난X", "")),"") &amp; " " &amp;IF(VLOOKUP($D955,'3. 요건기술서 전체'!$B:$L,11,0)&lt;&gt;"",IF(VLOOKUP($D955,'3. 요건기술서 전체'!$B:$L,11,0)="O", "외부O", IF(VLOOKUP($D955,'3. 요건기술서 전체'!$B:$L,11,0)="X", "외부X", "")),"")),"")</f>
        <v/>
      </c>
      <c r="H955" s="37" t="s">
        <v>479</v>
      </c>
    </row>
    <row r="956" spans="2:8" x14ac:dyDescent="0.3">
      <c r="B956" s="94" t="s">
        <v>43</v>
      </c>
      <c r="C956" s="95"/>
      <c r="D956" s="85" t="str">
        <f>VLOOKUP($D955,'3. 요건기술서 전체'!$B:$L,5,0)</f>
        <v>위험관리 방안</v>
      </c>
      <c r="E956" s="86"/>
      <c r="F956" s="87"/>
      <c r="H956" s="37" t="s">
        <v>480</v>
      </c>
    </row>
    <row r="957" spans="2:8" x14ac:dyDescent="0.3">
      <c r="B957" s="98" t="s">
        <v>44</v>
      </c>
      <c r="C957" s="43" t="s">
        <v>45</v>
      </c>
      <c r="D957" s="85" t="str">
        <f>VLOOKUP($D955,'3. 요건기술서 전체'!$B:$L,7,0)</f>
        <v>위험관리 방안</v>
      </c>
      <c r="E957" s="86"/>
      <c r="F957" s="87"/>
      <c r="H957" s="37" t="s">
        <v>480</v>
      </c>
    </row>
    <row r="958" spans="2:8" x14ac:dyDescent="0.3">
      <c r="B958" s="98"/>
      <c r="C958" s="43" t="s">
        <v>46</v>
      </c>
      <c r="D958" s="85" t="str">
        <f>VLOOKUP($D955,'3. 요건기술서 전체'!$B:$L,8,0)</f>
        <v>○ 사업수행 중 인력, 범위, 기술, 공정, 변경관리 등 발생 가능한 위험에 대한 식별 관리 방안 제시</v>
      </c>
      <c r="E958" s="86"/>
      <c r="F958" s="87"/>
      <c r="H958" s="37" t="s">
        <v>610</v>
      </c>
    </row>
    <row r="959" spans="2:8" x14ac:dyDescent="0.3">
      <c r="B959" s="90" t="s">
        <v>871</v>
      </c>
      <c r="C959" s="91"/>
      <c r="D959" s="88">
        <f>VLOOKUP(D955, '3. 요건기술서 전체'!$B:$L, 9, 0)</f>
        <v>0</v>
      </c>
      <c r="E959" s="88"/>
      <c r="F959" s="89"/>
      <c r="H959" s="44">
        <v>0</v>
      </c>
    </row>
    <row r="960" spans="2:8" ht="15.75" thickBot="1" x14ac:dyDescent="0.35">
      <c r="B960" s="92" t="s">
        <v>47</v>
      </c>
      <c r="C960" s="93"/>
      <c r="D960" s="99">
        <f>VLOOKUP($D955,'3. 요건기술서 전체'!$B:$L,2,0)</f>
        <v>0</v>
      </c>
      <c r="E960" s="100"/>
      <c r="F960" s="101"/>
      <c r="H960" s="36">
        <v>0</v>
      </c>
    </row>
    <row r="961" spans="2:8" ht="15.75" thickBot="1" x14ac:dyDescent="0.35">
      <c r="H961" s="36"/>
    </row>
    <row r="962" spans="2:8" x14ac:dyDescent="0.3">
      <c r="B962" s="96" t="s">
        <v>41</v>
      </c>
      <c r="C962" s="97"/>
      <c r="D962" s="30" t="str">
        <f>D954</f>
        <v>관리방법론</v>
      </c>
      <c r="E962" s="31" t="s">
        <v>131</v>
      </c>
      <c r="F962" s="32" t="str">
        <f>VLOOKUP($D963,'3. 요건기술서 전체'!$B:$L,6,0)</f>
        <v>필수</v>
      </c>
      <c r="H962" s="37" t="s">
        <v>703</v>
      </c>
    </row>
    <row r="963" spans="2:8" x14ac:dyDescent="0.3">
      <c r="B963" s="94" t="s">
        <v>42</v>
      </c>
      <c r="C963" s="95"/>
      <c r="D963" s="33" t="str">
        <f>LEFT(D955,3)&amp;"-"&amp;TEXT(VALUE(RIGHT(D955,3))+1,"000")</f>
        <v>PMR-003</v>
      </c>
      <c r="E963" s="34" t="s">
        <v>85</v>
      </c>
      <c r="F963" s="35" t="str">
        <f>IFERROR(TRIM(IF(VLOOKUP($D963,'3. 요건기술서 전체'!$B:$L,10,0)&lt;&gt;"",IF(VLOOKUP($D963,'3. 요건기술서 전체'!$B:$L,10,0)="O", "한난O", IF(VLOOKUP($D963,'3. 요건기술서 전체'!$B:$L,10,0)="X", "한난X", "")),"") &amp; " " &amp;IF(VLOOKUP($D963,'3. 요건기술서 전체'!$B:$L,11,0)&lt;&gt;"",IF(VLOOKUP($D963,'3. 요건기술서 전체'!$B:$L,11,0)="O", "외부O", IF(VLOOKUP($D963,'3. 요건기술서 전체'!$B:$L,11,0)="X", "외부X", "")),"")),"")</f>
        <v/>
      </c>
      <c r="H963" s="37" t="s">
        <v>481</v>
      </c>
    </row>
    <row r="964" spans="2:8" x14ac:dyDescent="0.3">
      <c r="B964" s="94" t="s">
        <v>43</v>
      </c>
      <c r="C964" s="95"/>
      <c r="D964" s="85" t="str">
        <f>VLOOKUP($D963,'3. 요건기술서 전체'!$B:$L,5,0)</f>
        <v>의사소통 방안</v>
      </c>
      <c r="E964" s="86"/>
      <c r="F964" s="87"/>
      <c r="H964" s="37" t="s">
        <v>482</v>
      </c>
    </row>
    <row r="965" spans="2:8" x14ac:dyDescent="0.3">
      <c r="B965" s="98" t="s">
        <v>44</v>
      </c>
      <c r="C965" s="43" t="s">
        <v>45</v>
      </c>
      <c r="D965" s="85" t="str">
        <f>VLOOKUP($D963,'3. 요건기술서 전체'!$B:$L,7,0)</f>
        <v>의사소통 방안</v>
      </c>
      <c r="E965" s="86"/>
      <c r="F965" s="87"/>
      <c r="H965" s="37" t="s">
        <v>482</v>
      </c>
    </row>
    <row r="966" spans="2:8" x14ac:dyDescent="0.3">
      <c r="B966" s="98"/>
      <c r="C966" s="43" t="s">
        <v>46</v>
      </c>
      <c r="D966" s="85" t="str">
        <f>VLOOKUP($D963,'3. 요건기술서 전체'!$B:$L,8,0)</f>
        <v>○ 사업 추진조직과 원활한 의사소통을 위한 방안 제시 및 의사소통 채널 운영</v>
      </c>
      <c r="E966" s="86"/>
      <c r="F966" s="87"/>
      <c r="H966" s="44" t="s">
        <v>611</v>
      </c>
    </row>
    <row r="967" spans="2:8" x14ac:dyDescent="0.3">
      <c r="B967" s="90" t="s">
        <v>871</v>
      </c>
      <c r="C967" s="91"/>
      <c r="D967" s="88">
        <f>VLOOKUP(D963, '3. 요건기술서 전체'!$B:$L, 9, 0)</f>
        <v>0</v>
      </c>
      <c r="E967" s="88"/>
      <c r="F967" s="89"/>
      <c r="H967" s="36">
        <v>0</v>
      </c>
    </row>
    <row r="968" spans="2:8" ht="15.75" thickBot="1" x14ac:dyDescent="0.35">
      <c r="B968" s="92" t="s">
        <v>47</v>
      </c>
      <c r="C968" s="93"/>
      <c r="D968" s="99">
        <f>VLOOKUP($D963,'3. 요건기술서 전체'!$B:$L,2,0)</f>
        <v>0</v>
      </c>
      <c r="E968" s="100"/>
      <c r="F968" s="101"/>
      <c r="H968" s="36">
        <v>0</v>
      </c>
    </row>
    <row r="969" spans="2:8" ht="15.75" thickBot="1" x14ac:dyDescent="0.35">
      <c r="H969" s="37"/>
    </row>
    <row r="970" spans="2:8" x14ac:dyDescent="0.3">
      <c r="B970" s="96" t="s">
        <v>41</v>
      </c>
      <c r="C970" s="97"/>
      <c r="D970" s="30" t="str">
        <f>D962</f>
        <v>관리방법론</v>
      </c>
      <c r="E970" s="31" t="s">
        <v>131</v>
      </c>
      <c r="F970" s="32" t="str">
        <f>VLOOKUP($D971,'3. 요건기술서 전체'!$B:$L,6,0)</f>
        <v>필수</v>
      </c>
      <c r="H970" s="37" t="s">
        <v>703</v>
      </c>
    </row>
    <row r="971" spans="2:8" x14ac:dyDescent="0.3">
      <c r="B971" s="94" t="s">
        <v>42</v>
      </c>
      <c r="C971" s="95"/>
      <c r="D971" s="33" t="str">
        <f>LEFT(D963,3)&amp;"-"&amp;TEXT(VALUE(RIGHT(D963,3))+1,"000")</f>
        <v>PMR-004</v>
      </c>
      <c r="E971" s="34" t="s">
        <v>85</v>
      </c>
      <c r="F971" s="35" t="str">
        <f>IFERROR(TRIM(IF(VLOOKUP($D971,'3. 요건기술서 전체'!$B:$L,10,0)&lt;&gt;"",IF(VLOOKUP($D971,'3. 요건기술서 전체'!$B:$L,10,0)="O", "한난O", IF(VLOOKUP($D971,'3. 요건기술서 전체'!$B:$L,10,0)="X", "한난X", "")),"") &amp; " " &amp;IF(VLOOKUP($D971,'3. 요건기술서 전체'!$B:$L,11,0)&lt;&gt;"",IF(VLOOKUP($D971,'3. 요건기술서 전체'!$B:$L,11,0)="O", "외부O", IF(VLOOKUP($D971,'3. 요건기술서 전체'!$B:$L,11,0)="X", "외부X", "")),"")),"")</f>
        <v/>
      </c>
      <c r="H971" s="37" t="s">
        <v>483</v>
      </c>
    </row>
    <row r="972" spans="2:8" x14ac:dyDescent="0.3">
      <c r="B972" s="94" t="s">
        <v>43</v>
      </c>
      <c r="C972" s="95"/>
      <c r="D972" s="85" t="str">
        <f>VLOOKUP($D971,'3. 요건기술서 전체'!$B:$L,5,0)</f>
        <v>사업보고</v>
      </c>
      <c r="E972" s="86"/>
      <c r="F972" s="87"/>
      <c r="H972" s="37" t="s">
        <v>484</v>
      </c>
    </row>
    <row r="973" spans="2:8" x14ac:dyDescent="0.3">
      <c r="B973" s="98" t="s">
        <v>44</v>
      </c>
      <c r="C973" s="43" t="s">
        <v>45</v>
      </c>
      <c r="D973" s="85" t="str">
        <f>VLOOKUP($D971,'3. 요건기술서 전체'!$B:$L,7,0)</f>
        <v xml:space="preserve">사업 보고에 관한 사항 </v>
      </c>
      <c r="E973" s="86"/>
      <c r="F973" s="87"/>
      <c r="H973" s="44" t="s">
        <v>612</v>
      </c>
    </row>
    <row r="974" spans="2:8" ht="102" x14ac:dyDescent="0.3">
      <c r="B974" s="98"/>
      <c r="C974" s="43" t="s">
        <v>46</v>
      </c>
      <c r="D974" s="85" t="str">
        <f>VLOOKUP($D971,'3. 요건기술서 전체'!$B:$L,8,0)</f>
        <v>○ 수행사는 계약체결일로부터 사업완료일까지 다음과 같이 대면 보고를 해야 함
 - 착수 보고 : 착수 후 1개월 이내
 - 주간 보고 : 매주 사업 구성원의 업무 수행상황 등
 - 월간 보고 : 당월의 업무 추진상황 및 항후 추진일정 등
 - 중간 보고 : 사업 수행 중 일정 시점의 수행 내용·결과 점검 등 
 - 완료 보고 : 사업 종료 시 전체 추진단계의 수행결과
 - 수시 보고 : 긴급 변경사항 및 서면요구에 의해 지정된 내용
○ 보고서, 보고회의 세부 방법과 일정은 상호 협의하여 조정할 수 있음</v>
      </c>
      <c r="E974" s="86"/>
      <c r="F974" s="87"/>
      <c r="H974" s="36" t="s">
        <v>1101</v>
      </c>
    </row>
    <row r="975" spans="2:8" x14ac:dyDescent="0.3">
      <c r="B975" s="90" t="s">
        <v>871</v>
      </c>
      <c r="C975" s="91"/>
      <c r="D975" s="88" t="str">
        <f>VLOOKUP(D971, '3. 요건기술서 전체'!$B:$L, 9, 0)</f>
        <v>주간/월간 보고서, 중간·최종 보고서 등 회의록</v>
      </c>
      <c r="E975" s="88"/>
      <c r="F975" s="89"/>
      <c r="H975" s="36" t="s">
        <v>879</v>
      </c>
    </row>
    <row r="976" spans="2:8" ht="15.75" thickBot="1" x14ac:dyDescent="0.35">
      <c r="B976" s="92" t="s">
        <v>47</v>
      </c>
      <c r="C976" s="93"/>
      <c r="D976" s="99">
        <f>VLOOKUP($D971,'3. 요건기술서 전체'!$B:$L,2,0)</f>
        <v>0</v>
      </c>
      <c r="E976" s="100"/>
      <c r="F976" s="101"/>
      <c r="H976" s="37">
        <v>0</v>
      </c>
    </row>
    <row r="977" spans="2:8" ht="15.75" thickBot="1" x14ac:dyDescent="0.35">
      <c r="H977" s="37"/>
    </row>
    <row r="978" spans="2:8" x14ac:dyDescent="0.3">
      <c r="B978" s="96" t="s">
        <v>41</v>
      </c>
      <c r="C978" s="97"/>
      <c r="D978" s="30" t="str">
        <f>D970</f>
        <v>관리방법론</v>
      </c>
      <c r="E978" s="31" t="s">
        <v>131</v>
      </c>
      <c r="F978" s="32" t="str">
        <f>VLOOKUP($D979,'3. 요건기술서 전체'!$B:$L,6,0)</f>
        <v>필수</v>
      </c>
      <c r="H978" s="37" t="s">
        <v>703</v>
      </c>
    </row>
    <row r="979" spans="2:8" x14ac:dyDescent="0.3">
      <c r="B979" s="94" t="s">
        <v>42</v>
      </c>
      <c r="C979" s="95"/>
      <c r="D979" s="33" t="str">
        <f>LEFT(D971,3)&amp;"-"&amp;TEXT(VALUE(RIGHT(D971,3))+1,"000")</f>
        <v>PMR-005</v>
      </c>
      <c r="E979" s="34" t="s">
        <v>85</v>
      </c>
      <c r="F979" s="35" t="str">
        <f>IFERROR(TRIM(IF(VLOOKUP($D979,'3. 요건기술서 전체'!$B:$L,10,0)&lt;&gt;"",IF(VLOOKUP($D979,'3. 요건기술서 전체'!$B:$L,10,0)="O", "한난O", IF(VLOOKUP($D979,'3. 요건기술서 전체'!$B:$L,10,0)="X", "한난X", "")),"") &amp; " " &amp;IF(VLOOKUP($D979,'3. 요건기술서 전체'!$B:$L,11,0)&lt;&gt;"",IF(VLOOKUP($D979,'3. 요건기술서 전체'!$B:$L,11,0)="O", "외부O", IF(VLOOKUP($D979,'3. 요건기술서 전체'!$B:$L,11,0)="X", "외부X", "")),"")),"")</f>
        <v/>
      </c>
      <c r="H979" s="37" t="s">
        <v>485</v>
      </c>
    </row>
    <row r="980" spans="2:8" x14ac:dyDescent="0.3">
      <c r="B980" s="94" t="s">
        <v>43</v>
      </c>
      <c r="C980" s="95"/>
      <c r="D980" s="85" t="str">
        <f>VLOOKUP($D979,'3. 요건기술서 전체'!$B:$L,5,0)</f>
        <v>준공 및 인수인계</v>
      </c>
      <c r="E980" s="86"/>
      <c r="F980" s="87"/>
      <c r="H980" s="44" t="s">
        <v>486</v>
      </c>
    </row>
    <row r="981" spans="2:8" x14ac:dyDescent="0.3">
      <c r="B981" s="98" t="s">
        <v>44</v>
      </c>
      <c r="C981" s="43" t="s">
        <v>45</v>
      </c>
      <c r="D981" s="85" t="str">
        <f>VLOOKUP($D979,'3. 요건기술서 전체'!$B:$L,7,0)</f>
        <v>준공 및 인수인계</v>
      </c>
      <c r="E981" s="86"/>
      <c r="F981" s="87"/>
      <c r="H981" s="36" t="s">
        <v>486</v>
      </c>
    </row>
    <row r="982" spans="2:8" x14ac:dyDescent="0.3">
      <c r="B982" s="98"/>
      <c r="C982" s="43" t="s">
        <v>46</v>
      </c>
      <c r="D982" s="85" t="str">
        <f>VLOOKUP($D979,'3. 요건기술서 전체'!$B:$L,8,0)</f>
        <v xml:space="preserve">○ 준공신청은 사업종료일 전에 요청하여야 하며, 수행사와 공사가 협의하여 인수인계 일정 결정 </v>
      </c>
      <c r="E982" s="86"/>
      <c r="F982" s="87"/>
      <c r="H982" s="36" t="s">
        <v>613</v>
      </c>
    </row>
    <row r="983" spans="2:8" ht="38.25" x14ac:dyDescent="0.3">
      <c r="B983" s="90" t="s">
        <v>871</v>
      </c>
      <c r="C983" s="91"/>
      <c r="D983" s="88" t="str">
        <f>VLOOKUP(D979, '3. 요건기술서 전체'!$B:$L, 9, 0)</f>
        <v>준공검사확인서(준공조서, 기성부문산출내역, 검사확인서, 비용산출 최종내역)
정보시스템 현황보고서,
최종 프로그램 소스코드 및 디자인 원본 파일 일체</v>
      </c>
      <c r="E983" s="88"/>
      <c r="F983" s="89"/>
      <c r="H983" s="37" t="s">
        <v>1102</v>
      </c>
    </row>
    <row r="984" spans="2:8" ht="15.75" thickBot="1" x14ac:dyDescent="0.35">
      <c r="B984" s="92" t="s">
        <v>47</v>
      </c>
      <c r="C984" s="93"/>
      <c r="D984" s="99">
        <f>VLOOKUP($D979,'3. 요건기술서 전체'!$B:$L,2,0)</f>
        <v>0</v>
      </c>
      <c r="E984" s="100"/>
      <c r="F984" s="101"/>
      <c r="H984" s="37">
        <v>0</v>
      </c>
    </row>
    <row r="985" spans="2:8" ht="15.75" thickBot="1" x14ac:dyDescent="0.35">
      <c r="H985" s="37"/>
    </row>
    <row r="986" spans="2:8" x14ac:dyDescent="0.3">
      <c r="B986" s="96" t="s">
        <v>41</v>
      </c>
      <c r="C986" s="97"/>
      <c r="D986" s="30" t="str">
        <f>D978</f>
        <v>관리방법론</v>
      </c>
      <c r="E986" s="31" t="s">
        <v>131</v>
      </c>
      <c r="F986" s="32" t="str">
        <f>VLOOKUP($D987,'3. 요건기술서 전체'!$B:$L,6,0)</f>
        <v>필수</v>
      </c>
      <c r="H986" s="37" t="s">
        <v>703</v>
      </c>
    </row>
    <row r="987" spans="2:8" x14ac:dyDescent="0.3">
      <c r="B987" s="94" t="s">
        <v>42</v>
      </c>
      <c r="C987" s="95"/>
      <c r="D987" s="33" t="str">
        <f>LEFT(D979,3)&amp;"-"&amp;TEXT(VALUE(RIGHT(D979,3))+1,"000")</f>
        <v>PMR-006</v>
      </c>
      <c r="E987" s="34" t="s">
        <v>85</v>
      </c>
      <c r="F987" s="35" t="str">
        <f>IFERROR(TRIM(IF(VLOOKUP($D987,'3. 요건기술서 전체'!$B:$L,10,0)&lt;&gt;"",IF(VLOOKUP($D987,'3. 요건기술서 전체'!$B:$L,10,0)="O", "한난O", IF(VLOOKUP($D987,'3. 요건기술서 전체'!$B:$L,10,0)="X", "한난X", "")),"") &amp; " " &amp;IF(VLOOKUP($D987,'3. 요건기술서 전체'!$B:$L,11,0)&lt;&gt;"",IF(VLOOKUP($D987,'3. 요건기술서 전체'!$B:$L,11,0)="O", "외부O", IF(VLOOKUP($D987,'3. 요건기술서 전체'!$B:$L,11,0)="X", "외부X", "")),"")),"")</f>
        <v/>
      </c>
      <c r="H987" s="44" t="s">
        <v>487</v>
      </c>
    </row>
    <row r="988" spans="2:8" x14ac:dyDescent="0.3">
      <c r="B988" s="94" t="s">
        <v>43</v>
      </c>
      <c r="C988" s="95"/>
      <c r="D988" s="85" t="str">
        <f>VLOOKUP($D987,'3. 요건기술서 전체'!$B:$L,5,0)</f>
        <v>개발장소 및 환경</v>
      </c>
      <c r="E988" s="86"/>
      <c r="F988" s="87"/>
      <c r="H988" s="36" t="s">
        <v>488</v>
      </c>
    </row>
    <row r="989" spans="2:8" x14ac:dyDescent="0.3">
      <c r="B989" s="98" t="s">
        <v>44</v>
      </c>
      <c r="C989" s="43" t="s">
        <v>45</v>
      </c>
      <c r="D989" s="85" t="str">
        <f>VLOOKUP($D987,'3. 요건기술서 전체'!$B:$L,7,0)</f>
        <v>개발장소 정의 및 개발환경 구성</v>
      </c>
      <c r="E989" s="86"/>
      <c r="F989" s="87"/>
      <c r="H989" s="36" t="s">
        <v>614</v>
      </c>
    </row>
    <row r="990" spans="2:8" ht="127.5" x14ac:dyDescent="0.3">
      <c r="B990" s="98"/>
      <c r="C990" s="43" t="s">
        <v>46</v>
      </c>
      <c r="D990" s="85" t="str">
        <f>VLOOKUP($D987,'3. 요건기술서 전체'!$B:$L,8,0)</f>
        <v>○ 작업장소 상호 협의 
 - 작업장소는 상호 협의하여 결정하되, 작업장소(원격지 또는 발주처내)에 상관없이 정보화사업 수행업체 보안 준수사항을 반드시 지켜야 하며, 본 사업수행을 위한 사무환경 및 집기비품, 개발에 필요한 장비는 사업자 부담
 - 사업자는 작업장소 상호협의 시 보안요구사항을 준수한 작업장소를 제시할 수 있으며, 발주기관에서는 제시된 작업장소에 관하여 우선 검토. 다만, 발주기관에서는 사업자가 제시한 작업장소가 보안요구사항을 준수하지 못한 경우 거부할 수 있음. 
○ 용역수행자의 근무지 
 - 투입인력에 대한 작업장소는 발주자와 협의하여 정하며 투입인력은 작업장소에 상주하며 비상주 인력에 대해서는 타당한 비상주 사유를 명시하여야 함
○ 비품, 소모품, 통신 등 
 - 발주자는 비품(책상, 의자)과 전화/인터넷 회선(PM에 한해 제공) 등의 통신환경 제공하며, 그외 비품은 필요시 계약사가 구비</v>
      </c>
      <c r="E990" s="86"/>
      <c r="F990" s="87"/>
      <c r="H990" s="37" t="s">
        <v>615</v>
      </c>
    </row>
    <row r="991" spans="2:8" x14ac:dyDescent="0.3">
      <c r="B991" s="90" t="s">
        <v>871</v>
      </c>
      <c r="C991" s="91"/>
      <c r="D991" s="88">
        <f>VLOOKUP(D987, '3. 요건기술서 전체'!$B:$L, 9, 0)</f>
        <v>0</v>
      </c>
      <c r="E991" s="88"/>
      <c r="F991" s="89"/>
      <c r="H991" s="37">
        <v>0</v>
      </c>
    </row>
    <row r="992" spans="2:8" ht="15.75" thickBot="1" x14ac:dyDescent="0.35">
      <c r="B992" s="92" t="s">
        <v>47</v>
      </c>
      <c r="C992" s="93"/>
      <c r="D992" s="99">
        <f>VLOOKUP($D987,'3. 요건기술서 전체'!$B:$L,2,0)</f>
        <v>0</v>
      </c>
      <c r="E992" s="100"/>
      <c r="F992" s="101"/>
      <c r="H992" s="37">
        <v>0</v>
      </c>
    </row>
    <row r="993" spans="2:8" ht="15.75" thickBot="1" x14ac:dyDescent="0.35">
      <c r="H993" s="37"/>
    </row>
    <row r="994" spans="2:8" x14ac:dyDescent="0.3">
      <c r="B994" s="96" t="s">
        <v>41</v>
      </c>
      <c r="C994" s="97"/>
      <c r="D994" s="30" t="str">
        <f>D986</f>
        <v>관리방법론</v>
      </c>
      <c r="E994" s="31" t="s">
        <v>131</v>
      </c>
      <c r="F994" s="32" t="str">
        <f>VLOOKUP($D995,'3. 요건기술서 전체'!$B:$L,6,0)</f>
        <v>필수</v>
      </c>
      <c r="H994" s="44" t="s">
        <v>703</v>
      </c>
    </row>
    <row r="995" spans="2:8" x14ac:dyDescent="0.3">
      <c r="B995" s="94" t="s">
        <v>42</v>
      </c>
      <c r="C995" s="95"/>
      <c r="D995" s="33" t="str">
        <f>LEFT(D987,3)&amp;"-"&amp;TEXT(VALUE(RIGHT(D987,3))+1,"000")</f>
        <v>PMR-007</v>
      </c>
      <c r="E995" s="34" t="s">
        <v>85</v>
      </c>
      <c r="F995" s="35" t="str">
        <f>IFERROR(TRIM(IF(VLOOKUP($D995,'3. 요건기술서 전체'!$B:$L,10,0)&lt;&gt;"",IF(VLOOKUP($D995,'3. 요건기술서 전체'!$B:$L,10,0)="O", "한난O", IF(VLOOKUP($D995,'3. 요건기술서 전체'!$B:$L,10,0)="X", "한난X", "")),"") &amp; " " &amp;IF(VLOOKUP($D995,'3. 요건기술서 전체'!$B:$L,11,0)&lt;&gt;"",IF(VLOOKUP($D995,'3. 요건기술서 전체'!$B:$L,11,0)="O", "외부O", IF(VLOOKUP($D995,'3. 요건기술서 전체'!$B:$L,11,0)="X", "외부X", "")),"")),"")</f>
        <v/>
      </c>
      <c r="H995" s="36" t="s">
        <v>489</v>
      </c>
    </row>
    <row r="996" spans="2:8" x14ac:dyDescent="0.3">
      <c r="B996" s="94" t="s">
        <v>43</v>
      </c>
      <c r="C996" s="95"/>
      <c r="D996" s="85" t="str">
        <f>VLOOKUP($D995,'3. 요건기술서 전체'!$B:$L,5,0)</f>
        <v>사업 수행조직 및 인력 관리</v>
      </c>
      <c r="E996" s="86"/>
      <c r="F996" s="87"/>
      <c r="H996" s="36" t="s">
        <v>490</v>
      </c>
    </row>
    <row r="997" spans="2:8" x14ac:dyDescent="0.3">
      <c r="B997" s="98" t="s">
        <v>44</v>
      </c>
      <c r="C997" s="43" t="s">
        <v>45</v>
      </c>
      <c r="D997" s="85" t="str">
        <f>VLOOKUP($D995,'3. 요건기술서 전체'!$B:$L,7,0)</f>
        <v>사업수행 조직 및 인력</v>
      </c>
      <c r="E997" s="86"/>
      <c r="F997" s="87"/>
      <c r="H997" s="37" t="s">
        <v>616</v>
      </c>
    </row>
    <row r="998" spans="2:8" ht="140.25" x14ac:dyDescent="0.3">
      <c r="B998" s="98"/>
      <c r="C998" s="43" t="s">
        <v>46</v>
      </c>
      <c r="D998" s="85" t="str">
        <f>VLOOKUP($D995,'3. 요건기술서 전체'!$B:$L,8,0)</f>
        <v>○ 수행조직 구성 관련 사항 제시
 - 사업수행책임자(PM)는 반드시 제안사 소속으로 정보시스템 구축 사업의 지식과 경험을 보유한 관리자이어야 함
 - 사업수행조직과 단계별 핵심인력 구성 및 투입계획, 작업 단위별 업무분장, 투입비율 등을 제시해야 함
 - 투입 핵심인력(PM, PL 포함)에 대한 자격, 경력, 유사사업 참여실적을 상세하게 제시해야 함
 - 수행사는 계약서, 제안서, 과업수행계획서 및 착수계에 명시된 인력의 참여를 원칙으로 함
 - 사업 성공을 위한 추진조직 외 지원 또는 자문 조직 구성 제시 가능(관련비용은 수행사 비용으로 진행)
○ 투입인력 교체 관련 사항
 - 수행사는 투입인력 교체, 업무수행 중단 시 사전에 공사와 협의해야 하며, 교체 시에는 동일등급 이상의 인력으로 교체하여야 함
 - 사업기간동안 투입인력은 상주를 원칙으로 하며, 상주시기 및 인원은 공사와 협의(상주 시 부대비용은 제안사 부담)
 - 인력의 전문성 부족 또는 인력보완 판단 시, 교체 및 보완 등 협의를 거쳐 조치를 요청할 수 있음
 - 사업수행책임자(PM)는 교체 불가를 원칙으로 하며, 필요시 공사와 협의 후 대안 제시</v>
      </c>
      <c r="E998" s="86"/>
      <c r="F998" s="87"/>
      <c r="H998" s="37" t="s">
        <v>1103</v>
      </c>
    </row>
    <row r="999" spans="2:8" ht="25.5" x14ac:dyDescent="0.3">
      <c r="B999" s="90" t="s">
        <v>871</v>
      </c>
      <c r="C999" s="91"/>
      <c r="D999" s="88" t="str">
        <f>VLOOKUP(D995, '3. 요건기술서 전체'!$B:$L, 9, 0)</f>
        <v>사업수행계획서
(경력확인서 포함)</v>
      </c>
      <c r="E999" s="88"/>
      <c r="F999" s="89"/>
      <c r="H999" s="37" t="s">
        <v>1104</v>
      </c>
    </row>
    <row r="1000" spans="2:8" ht="15.75" thickBot="1" x14ac:dyDescent="0.35">
      <c r="B1000" s="92" t="s">
        <v>47</v>
      </c>
      <c r="C1000" s="93"/>
      <c r="D1000" s="99">
        <f>VLOOKUP($D995,'3. 요건기술서 전체'!$B:$L,2,0)</f>
        <v>0</v>
      </c>
      <c r="E1000" s="100"/>
      <c r="F1000" s="101"/>
      <c r="H1000" s="37">
        <v>0</v>
      </c>
    </row>
    <row r="1001" spans="2:8" ht="15.75" thickBot="1" x14ac:dyDescent="0.35"/>
    <row r="1002" spans="2:8" x14ac:dyDescent="0.3">
      <c r="B1002" s="96" t="s">
        <v>41</v>
      </c>
      <c r="C1002" s="97"/>
      <c r="D1002" s="30" t="str">
        <f>D994</f>
        <v>관리방법론</v>
      </c>
      <c r="E1002" s="31" t="s">
        <v>131</v>
      </c>
      <c r="F1002" s="32" t="str">
        <f>VLOOKUP($D1003,'3. 요건기술서 전체'!$B:$L,6,0)</f>
        <v>필수</v>
      </c>
      <c r="H1002" s="36" t="s">
        <v>703</v>
      </c>
    </row>
    <row r="1003" spans="2:8" x14ac:dyDescent="0.3">
      <c r="B1003" s="94" t="s">
        <v>42</v>
      </c>
      <c r="C1003" s="95"/>
      <c r="D1003" s="33" t="str">
        <f>LEFT(D995,3)&amp;"-"&amp;TEXT(VALUE(RIGHT(D995,3))+1,"000")</f>
        <v>PMR-008</v>
      </c>
      <c r="E1003" s="34" t="s">
        <v>85</v>
      </c>
      <c r="F1003" s="35" t="str">
        <f>IFERROR(TRIM(IF(VLOOKUP($D1003,'3. 요건기술서 전체'!$B:$L,10,0)&lt;&gt;"",IF(VLOOKUP($D1003,'3. 요건기술서 전체'!$B:$L,10,0)="O", "한난O", IF(VLOOKUP($D1003,'3. 요건기술서 전체'!$B:$L,10,0)="X", "한난X", "")),"") &amp; " " &amp;IF(VLOOKUP($D1003,'3. 요건기술서 전체'!$B:$L,11,0)&lt;&gt;"",IF(VLOOKUP($D1003,'3. 요건기술서 전체'!$B:$L,11,0)="O", "외부O", IF(VLOOKUP($D1003,'3. 요건기술서 전체'!$B:$L,11,0)="X", "외부X", "")),"")),"")</f>
        <v/>
      </c>
      <c r="H1003" s="36" t="s">
        <v>491</v>
      </c>
    </row>
    <row r="1004" spans="2:8" x14ac:dyDescent="0.3">
      <c r="B1004" s="94" t="s">
        <v>43</v>
      </c>
      <c r="C1004" s="95"/>
      <c r="D1004" s="85" t="str">
        <f>VLOOKUP($D1003,'3. 요건기술서 전체'!$B:$L,5,0)</f>
        <v>데이터 기반 자동화 공정 관리</v>
      </c>
      <c r="E1004" s="86"/>
      <c r="F1004" s="87"/>
      <c r="H1004" s="37" t="s">
        <v>492</v>
      </c>
    </row>
    <row r="1005" spans="2:8" x14ac:dyDescent="0.3">
      <c r="B1005" s="98" t="s">
        <v>44</v>
      </c>
      <c r="C1005" s="43" t="s">
        <v>45</v>
      </c>
      <c r="D1005" s="85" t="str">
        <f>VLOOKUP($D1003,'3. 요건기술서 전체'!$B:$L,7,0)</f>
        <v>형상 연동형 실시간 진척/ 공정관리 체계 적용</v>
      </c>
      <c r="E1005" s="86"/>
      <c r="F1005" s="87"/>
      <c r="H1005" s="37" t="s">
        <v>617</v>
      </c>
    </row>
    <row r="1006" spans="2:8" ht="51" x14ac:dyDescent="0.3">
      <c r="B1006" s="98"/>
      <c r="C1006" s="43" t="s">
        <v>46</v>
      </c>
      <c r="D1006" s="85" t="str">
        <f>VLOOKUP($D1003,'3. 요건기술서 전체'!$B:$L,8,0)</f>
        <v>○주관사업자는 사업 수행 기간 동안 WBS(작업분류체계)와 형상관리 시스템이 연동된 자동화된 프로젝트 관리 도구(PMS)를 적용해야 한다.
○개발 진척률은 개발자의 주관적 판단(%) 입력을 지양하고, 실제 소스코드 커밋 건수, 테스트 통과율 등 정량적 데이터에 기반하여 시스템이 자동으로 산출해야 한다.
○프로젝트 관리자(PM) 및 발주사가 실시간으로 프로젝트 현황, 지연 요소, 리스크를 식별할 수 있는 통합 대시보드를 제공해야 한다.</v>
      </c>
      <c r="E1006" s="86"/>
      <c r="F1006" s="87"/>
      <c r="H1006" s="37" t="s">
        <v>1105</v>
      </c>
    </row>
    <row r="1007" spans="2:8" x14ac:dyDescent="0.3">
      <c r="B1007" s="90" t="s">
        <v>871</v>
      </c>
      <c r="C1007" s="91"/>
      <c r="D1007" s="88" t="str">
        <f>VLOOKUP(D1003, '3. 요건기술서 전체'!$B:$L, 9, 0)</f>
        <v>프로그램 목록</v>
      </c>
      <c r="E1007" s="88"/>
      <c r="F1007" s="89"/>
      <c r="H1007" s="37" t="s">
        <v>1106</v>
      </c>
    </row>
    <row r="1008" spans="2:8" ht="15.75" thickBot="1" x14ac:dyDescent="0.35">
      <c r="B1008" s="92" t="s">
        <v>47</v>
      </c>
      <c r="C1008" s="93"/>
      <c r="D1008" s="99">
        <f>VLOOKUP($D1003,'3. 요건기술서 전체'!$B:$L,2,0)</f>
        <v>0</v>
      </c>
      <c r="E1008" s="100"/>
      <c r="F1008" s="101"/>
      <c r="H1008" s="44">
        <v>0</v>
      </c>
    </row>
    <row r="1009" spans="2:8" ht="15.75" thickBot="1" x14ac:dyDescent="0.35"/>
    <row r="1010" spans="2:8" x14ac:dyDescent="0.3">
      <c r="B1010" s="96" t="s">
        <v>41</v>
      </c>
      <c r="C1010" s="97"/>
      <c r="D1010" s="30" t="str">
        <f>D1002</f>
        <v>관리방법론</v>
      </c>
      <c r="E1010" s="31" t="s">
        <v>131</v>
      </c>
      <c r="F1010" s="32" t="str">
        <f>VLOOKUP($D1011,'3. 요건기술서 전체'!$B:$L,6,0)</f>
        <v>필수</v>
      </c>
      <c r="H1010" s="44" t="s">
        <v>703</v>
      </c>
    </row>
    <row r="1011" spans="2:8" x14ac:dyDescent="0.3">
      <c r="B1011" s="94" t="s">
        <v>42</v>
      </c>
      <c r="C1011" s="95"/>
      <c r="D1011" s="33" t="str">
        <f>LEFT(D1003,3)&amp;"-"&amp;TEXT(VALUE(RIGHT(D1003,3))+1,"000")</f>
        <v>PMR-009</v>
      </c>
      <c r="E1011" s="34" t="s">
        <v>85</v>
      </c>
      <c r="F1011" s="35" t="str">
        <f>IFERROR(TRIM(IF(VLOOKUP($D1011,'3. 요건기술서 전체'!$B:$L,10,0)&lt;&gt;"",IF(VLOOKUP($D1011,'3. 요건기술서 전체'!$B:$L,10,0)="O", "한난O", IF(VLOOKUP($D1011,'3. 요건기술서 전체'!$B:$L,10,0)="X", "한난X", "")),"") &amp; " " &amp;IF(VLOOKUP($D1011,'3. 요건기술서 전체'!$B:$L,11,0)&lt;&gt;"",IF(VLOOKUP($D1011,'3. 요건기술서 전체'!$B:$L,11,0)="O", "외부O", IF(VLOOKUP($D1011,'3. 요건기술서 전체'!$B:$L,11,0)="X", "외부X", "")),"")),"")</f>
        <v/>
      </c>
      <c r="H1011" s="44" t="s">
        <v>493</v>
      </c>
    </row>
    <row r="1012" spans="2:8" x14ac:dyDescent="0.3">
      <c r="B1012" s="94" t="s">
        <v>43</v>
      </c>
      <c r="C1012" s="95"/>
      <c r="D1012" s="85" t="str">
        <f>VLOOKUP($D1011,'3. 요건기술서 전체'!$B:$L,5,0)</f>
        <v>지능형 품질 보증(AI QA)</v>
      </c>
      <c r="E1012" s="86"/>
      <c r="F1012" s="87"/>
      <c r="H1012" s="44" t="s">
        <v>494</v>
      </c>
    </row>
    <row r="1013" spans="2:8" x14ac:dyDescent="0.3">
      <c r="B1013" s="98" t="s">
        <v>44</v>
      </c>
      <c r="C1013" s="43" t="s">
        <v>45</v>
      </c>
      <c r="D1013" s="85" t="str">
        <f>VLOOKUP($D1011,'3. 요건기술서 전체'!$B:$L,7,0)</f>
        <v>AI 기반 소스코드 품질 진단 및 요구사항 추적 관리</v>
      </c>
      <c r="E1013" s="86"/>
      <c r="F1013" s="87"/>
      <c r="H1013" s="44" t="s">
        <v>618</v>
      </c>
    </row>
    <row r="1014" spans="2:8" ht="38.25" x14ac:dyDescent="0.3">
      <c r="B1014" s="98"/>
      <c r="C1014" s="43" t="s">
        <v>46</v>
      </c>
      <c r="D1014" s="85" t="str">
        <f>VLOOKUP($D1011,'3. 요건기술서 전체'!$B:$L,8,0)</f>
        <v xml:space="preserve">○ 주관사업자는 소스코드의 품질 확보를 위해 단순 구문 점검을 넘어선 AI 기반의 정적/동적 분석 체계를 적용해야 한다.
○ [폐쇄망 환경 지원] 해당 품질 관리 활동은 외부망 접속이 차단된 내부망(On -Premise) 환경에서 수행 가능해야 하며, 이에 필요한 인프라 및 라이선스는 사업자가 제공한다. </v>
      </c>
      <c r="E1014" s="86"/>
      <c r="F1014" s="87"/>
      <c r="H1014" s="44" t="s">
        <v>1107</v>
      </c>
    </row>
    <row r="1015" spans="2:8" ht="25.5" x14ac:dyDescent="0.3">
      <c r="B1015" s="90" t="s">
        <v>871</v>
      </c>
      <c r="C1015" s="91"/>
      <c r="D1015" s="88" t="str">
        <f>VLOOKUP(D1011, '3. 요건기술서 전체'!$B:$L, 9, 0)</f>
        <v>요구사항 정의서, 
요구사항 추적표</v>
      </c>
      <c r="E1015" s="88"/>
      <c r="F1015" s="89"/>
      <c r="H1015" s="44" t="s">
        <v>1108</v>
      </c>
    </row>
    <row r="1016" spans="2:8" ht="15.75" thickBot="1" x14ac:dyDescent="0.35">
      <c r="B1016" s="92" t="s">
        <v>47</v>
      </c>
      <c r="C1016" s="93"/>
      <c r="D1016" s="99">
        <f>VLOOKUP($D1011,'3. 요건기술서 전체'!$B:$L,2,0)</f>
        <v>0</v>
      </c>
      <c r="E1016" s="100"/>
      <c r="F1016" s="101"/>
      <c r="H1016" s="44">
        <v>0</v>
      </c>
    </row>
    <row r="1017" spans="2:8" ht="15.75" thickBot="1" x14ac:dyDescent="0.35"/>
    <row r="1018" spans="2:8" x14ac:dyDescent="0.3">
      <c r="B1018" s="96" t="s">
        <v>41</v>
      </c>
      <c r="C1018" s="97"/>
      <c r="D1018" s="30" t="str">
        <f>D1010</f>
        <v>관리방법론</v>
      </c>
      <c r="E1018" s="31" t="s">
        <v>131</v>
      </c>
      <c r="F1018" s="32" t="str">
        <f>VLOOKUP($D1019,'3. 요건기술서 전체'!$B:$L,6,0)</f>
        <v>필수</v>
      </c>
      <c r="H1018" s="44" t="s">
        <v>703</v>
      </c>
    </row>
    <row r="1019" spans="2:8" x14ac:dyDescent="0.3">
      <c r="B1019" s="94" t="s">
        <v>42</v>
      </c>
      <c r="C1019" s="95"/>
      <c r="D1019" s="33" t="str">
        <f>LEFT(D1011,3)&amp;"-"&amp;TEXT(VALUE(RIGHT(D1011,3))+1,"000")</f>
        <v>PMR-010</v>
      </c>
      <c r="E1019" s="34" t="s">
        <v>85</v>
      </c>
      <c r="F1019" s="35" t="str">
        <f>IFERROR(TRIM(IF(VLOOKUP($D1019,'3. 요건기술서 전체'!$B:$L,10,0)&lt;&gt;"",IF(VLOOKUP($D1019,'3. 요건기술서 전체'!$B:$L,10,0)="O", "한난O", IF(VLOOKUP($D1019,'3. 요건기술서 전체'!$B:$L,10,0)="X", "한난X", "")),"") &amp; " " &amp;IF(VLOOKUP($D1019,'3. 요건기술서 전체'!$B:$L,11,0)&lt;&gt;"",IF(VLOOKUP($D1019,'3. 요건기술서 전체'!$B:$L,11,0)="O", "외부O", IF(VLOOKUP($D1019,'3. 요건기술서 전체'!$B:$L,11,0)="X", "외부X", "")),"")),"")</f>
        <v/>
      </c>
      <c r="H1019" s="44" t="s">
        <v>619</v>
      </c>
    </row>
    <row r="1020" spans="2:8" x14ac:dyDescent="0.3">
      <c r="B1020" s="94" t="s">
        <v>43</v>
      </c>
      <c r="C1020" s="95"/>
      <c r="D1020" s="85" t="str">
        <f>VLOOKUP($D1019,'3. 요건기술서 전체'!$B:$L,5,0)</f>
        <v>AI 코딩 어시스턴트 환경 구축</v>
      </c>
      <c r="E1020" s="86"/>
      <c r="F1020" s="87"/>
      <c r="H1020" s="44" t="s">
        <v>620</v>
      </c>
    </row>
    <row r="1021" spans="2:8" x14ac:dyDescent="0.3">
      <c r="B1021" s="98" t="s">
        <v>44</v>
      </c>
      <c r="C1021" s="43" t="s">
        <v>45</v>
      </c>
      <c r="D1021" s="85" t="str">
        <f>VLOOKUP($D1019,'3. 요건기술서 전체'!$B:$L,7,0)</f>
        <v>개발 생산성 향상 도구 적용</v>
      </c>
      <c r="E1021" s="86"/>
      <c r="F1021" s="87"/>
      <c r="H1021" s="44" t="s">
        <v>1136</v>
      </c>
    </row>
    <row r="1022" spans="2:8" ht="63.75" x14ac:dyDescent="0.3">
      <c r="B1022" s="98"/>
      <c r="C1022" s="43" t="s">
        <v>46</v>
      </c>
      <c r="D1022" s="85" t="str">
        <f>VLOOKUP($D1019,'3. 요건기술서 전체'!$B:$L,8,0)</f>
        <v>○ 주관사업자는 개발 생산성 향상 및 소스코드 품질 분석을 위한 'AI 기반 개발 환경(Code Assistant 등)'을 구축해야 한다.
○ [인프라 제공 의무] 해당 AI 솔루션 구동에 필요한 H/W(GPU 서버 등), S/W 라이선스 등 일체의 인프라는 본 사업 기간 동안 주관사업자가 자체 비용으로 제공해야 한다.
○ [보안 준수] 모든 AI 환경은 외부 인터넷이 차단된 폐쇄망(On -Premise) 내에서 독립적으로 구동되어야 하며, 데이터 외부 유출 방지 조치를 적용해야 한다.</v>
      </c>
      <c r="E1022" s="86"/>
      <c r="F1022" s="87"/>
      <c r="H1022" s="44" t="s">
        <v>1109</v>
      </c>
    </row>
    <row r="1023" spans="2:8" x14ac:dyDescent="0.3">
      <c r="B1023" s="90" t="s">
        <v>871</v>
      </c>
      <c r="C1023" s="91"/>
      <c r="D1023" s="88">
        <f>VLOOKUP(D1019, '3. 요건기술서 전체'!$B:$L, 9, 0)</f>
        <v>0</v>
      </c>
      <c r="E1023" s="88"/>
      <c r="F1023" s="89"/>
      <c r="H1023" s="44">
        <v>0</v>
      </c>
    </row>
    <row r="1024" spans="2:8" ht="15.75" thickBot="1" x14ac:dyDescent="0.35">
      <c r="B1024" s="92" t="s">
        <v>47</v>
      </c>
      <c r="C1024" s="93"/>
      <c r="D1024" s="99">
        <f>VLOOKUP($D1019,'3. 요건기술서 전체'!$B:$L,2,0)</f>
        <v>0</v>
      </c>
      <c r="E1024" s="100"/>
      <c r="F1024" s="101"/>
      <c r="H1024" s="44">
        <v>0</v>
      </c>
    </row>
    <row r="1025" spans="2:8" ht="15.75" thickBot="1" x14ac:dyDescent="0.35"/>
    <row r="1026" spans="2:8" x14ac:dyDescent="0.3">
      <c r="B1026" s="96" t="s">
        <v>41</v>
      </c>
      <c r="C1026" s="97"/>
      <c r="D1026" s="30" t="s">
        <v>256</v>
      </c>
      <c r="E1026" s="31" t="s">
        <v>131</v>
      </c>
      <c r="F1026" s="32" t="str">
        <f>VLOOKUP($D1027,'3. 요건기술서 전체'!$B:$L,6,0)</f>
        <v>필수</v>
      </c>
      <c r="H1026" s="44" t="s">
        <v>704</v>
      </c>
    </row>
    <row r="1027" spans="2:8" x14ac:dyDescent="0.3">
      <c r="B1027" s="94" t="s">
        <v>42</v>
      </c>
      <c r="C1027" s="95"/>
      <c r="D1027" s="33" t="s">
        <v>522</v>
      </c>
      <c r="E1027" s="34" t="s">
        <v>85</v>
      </c>
      <c r="F1027" s="35" t="str">
        <f>IFERROR(TRIM(IF(VLOOKUP($D1027,'3. 요건기술서 전체'!$B:$L,10,0)&lt;&gt;"",IF(VLOOKUP($D1027,'3. 요건기술서 전체'!$B:$L,10,0)="O", "한난O", IF(VLOOKUP($D1027,'3. 요건기술서 전체'!$B:$L,10,0)="X", "한난X", "")),"") &amp; " " &amp;IF(VLOOKUP($D1027,'3. 요건기술서 전체'!$B:$L,11,0)&lt;&gt;"",IF(VLOOKUP($D1027,'3. 요건기술서 전체'!$B:$L,11,0)="O", "외부O", IF(VLOOKUP($D1027,'3. 요건기술서 전체'!$B:$L,11,0)="X", "외부X", "")),"")),"")</f>
        <v/>
      </c>
      <c r="H1027" s="44" t="s">
        <v>495</v>
      </c>
    </row>
    <row r="1028" spans="2:8" x14ac:dyDescent="0.3">
      <c r="B1028" s="94" t="s">
        <v>43</v>
      </c>
      <c r="C1028" s="95"/>
      <c r="D1028" s="85" t="str">
        <f>VLOOKUP($D1027,'3. 요건기술서 전체'!$B:$L,5,0)</f>
        <v>시스템 안정화 활동</v>
      </c>
      <c r="E1028" s="86"/>
      <c r="F1028" s="87"/>
      <c r="H1028" s="44" t="s">
        <v>496</v>
      </c>
    </row>
    <row r="1029" spans="2:8" x14ac:dyDescent="0.3">
      <c r="B1029" s="98" t="s">
        <v>44</v>
      </c>
      <c r="C1029" s="43" t="s">
        <v>45</v>
      </c>
      <c r="D1029" s="85" t="str">
        <f>VLOOKUP($D1027,'3. 요건기술서 전체'!$B:$L,7,0)</f>
        <v>목표시스템의 안정화를 위한 활동 계획 및 이행방안 제시</v>
      </c>
      <c r="E1029" s="86"/>
      <c r="F1029" s="87"/>
      <c r="H1029" s="44" t="s">
        <v>621</v>
      </c>
    </row>
    <row r="1030" spans="2:8" ht="51" x14ac:dyDescent="0.3">
      <c r="B1030" s="98"/>
      <c r="C1030" s="43" t="s">
        <v>46</v>
      </c>
      <c r="D1030" s="85" t="str">
        <f>VLOOKUP($D1027,'3. 요건기술서 전체'!$B:$L,8,0)</f>
        <v>○ 목표시스템 가동 이후 시스템 기능·성능 모니터링, 교육·기술지원 등 안정화 활동 수행계획 및 이행방안을 제시한다.
 - 안정화 활동 : 일별 가동 상태 모니터링 및 기록, 예방점검 활동 실시, 운영 유지관리 인력 교육, 자체 헬프데스크 운영 및 비상연락 체제 가동, 개발자원이관 및 기술지원 등을 의미
○ 안정화 기간을 확보하고 해당 기간 내 검수를 통해 본 사업의 준공을 해야 한다.</v>
      </c>
      <c r="E1030" s="86"/>
      <c r="F1030" s="87"/>
      <c r="H1030" s="44" t="s">
        <v>1110</v>
      </c>
    </row>
    <row r="1031" spans="2:8" x14ac:dyDescent="0.3">
      <c r="B1031" s="90" t="s">
        <v>871</v>
      </c>
      <c r="C1031" s="91"/>
      <c r="D1031" s="88" t="str">
        <f>VLOOKUP(D1027, '3. 요건기술서 전체'!$B:$L, 9, 0)</f>
        <v>자원현황 보고서</v>
      </c>
      <c r="E1031" s="88"/>
      <c r="F1031" s="89"/>
      <c r="H1031" s="44" t="s">
        <v>883</v>
      </c>
    </row>
    <row r="1032" spans="2:8" ht="15.75" thickBot="1" x14ac:dyDescent="0.35">
      <c r="B1032" s="92" t="s">
        <v>47</v>
      </c>
      <c r="C1032" s="93"/>
      <c r="D1032" s="99">
        <f>VLOOKUP($D1027,'3. 요건기술서 전체'!$B:$L,2,0)</f>
        <v>0</v>
      </c>
      <c r="E1032" s="100"/>
      <c r="F1032" s="101"/>
      <c r="H1032" s="44">
        <v>0</v>
      </c>
    </row>
    <row r="1033" spans="2:8" ht="15.75" thickBot="1" x14ac:dyDescent="0.35"/>
    <row r="1034" spans="2:8" x14ac:dyDescent="0.3">
      <c r="B1034" s="96" t="s">
        <v>41</v>
      </c>
      <c r="C1034" s="97"/>
      <c r="D1034" s="30" t="str">
        <f>D1026</f>
        <v>기밀보안</v>
      </c>
      <c r="E1034" s="31" t="s">
        <v>131</v>
      </c>
      <c r="F1034" s="32" t="str">
        <f>VLOOKUP($D1035,'3. 요건기술서 전체'!$B:$L,6,0)</f>
        <v>필수</v>
      </c>
      <c r="H1034" s="44" t="s">
        <v>704</v>
      </c>
    </row>
    <row r="1035" spans="2:8" x14ac:dyDescent="0.3">
      <c r="B1035" s="94" t="s">
        <v>42</v>
      </c>
      <c r="C1035" s="95"/>
      <c r="D1035" s="33" t="str">
        <f>LEFT(D1027,3)&amp;"-"&amp;TEXT(VALUE(RIGHT(D1027,3))+1,"000")</f>
        <v>PSR-002</v>
      </c>
      <c r="E1035" s="34" t="s">
        <v>85</v>
      </c>
      <c r="F1035" s="35" t="str">
        <f>IFERROR(TRIM(IF(VLOOKUP($D1035,'3. 요건기술서 전체'!$B:$L,10,0)&lt;&gt;"",IF(VLOOKUP($D1035,'3. 요건기술서 전체'!$B:$L,10,0)="O", "한난O", IF(VLOOKUP($D1035,'3. 요건기술서 전체'!$B:$L,10,0)="X", "한난X", "")),"") &amp; " " &amp;IF(VLOOKUP($D1035,'3. 요건기술서 전체'!$B:$L,11,0)&lt;&gt;"",IF(VLOOKUP($D1035,'3. 요건기술서 전체'!$B:$L,11,0)="O", "외부O", IF(VLOOKUP($D1035,'3. 요건기술서 전체'!$B:$L,11,0)="X", "외부X", "")),"")),"")</f>
        <v/>
      </c>
      <c r="H1035" s="44" t="s">
        <v>497</v>
      </c>
    </row>
    <row r="1036" spans="2:8" x14ac:dyDescent="0.3">
      <c r="B1036" s="94" t="s">
        <v>43</v>
      </c>
      <c r="C1036" s="95"/>
      <c r="D1036" s="85" t="str">
        <f>VLOOKUP($D1035,'3. 요건기술서 전체'!$B:$L,5,0)</f>
        <v>시험운영</v>
      </c>
      <c r="E1036" s="86"/>
      <c r="F1036" s="87"/>
      <c r="H1036" s="44" t="s">
        <v>219</v>
      </c>
    </row>
    <row r="1037" spans="2:8" x14ac:dyDescent="0.3">
      <c r="B1037" s="98" t="s">
        <v>44</v>
      </c>
      <c r="C1037" s="43" t="s">
        <v>45</v>
      </c>
      <c r="D1037" s="85" t="str">
        <f>VLOOKUP($D1035,'3. 요건기술서 전체'!$B:$L,7,0)</f>
        <v>체계적인 시험운영의 시행</v>
      </c>
      <c r="E1037" s="86"/>
      <c r="F1037" s="87"/>
      <c r="H1037" s="44" t="s">
        <v>622</v>
      </c>
    </row>
    <row r="1038" spans="2:8" ht="38.25" x14ac:dyDescent="0.3">
      <c r="B1038" s="98"/>
      <c r="C1038" s="43" t="s">
        <v>46</v>
      </c>
      <c r="D1038" s="85" t="str">
        <f>VLOOKUP($D1035,'3. 요건기술서 전체'!$B:$L,8,0)</f>
        <v>○ 시험운영은 개발 및 시스템 오픈 후 준공이전까지 최소 3개월 이상 시행
○ 개발 및 테스트가 완료된 시스템과 운영을 위한 DB를 구성하여 실제 운영환경에서 수행하며, 운영과 관련된 발주기관의 해당부서 담당자들이 업무수행과정에서 해당 시스템 및 DB를 활용하여 진행할 수 있도록 시나리오를 체계적으로 구성하여 진행</v>
      </c>
      <c r="E1038" s="86"/>
      <c r="F1038" s="87"/>
      <c r="H1038" s="44" t="s">
        <v>623</v>
      </c>
    </row>
    <row r="1039" spans="2:8" x14ac:dyDescent="0.3">
      <c r="B1039" s="90" t="s">
        <v>871</v>
      </c>
      <c r="C1039" s="91"/>
      <c r="D1039" s="88">
        <f>VLOOKUP(D1035, '3. 요건기술서 전체'!$B:$L, 9, 0)</f>
        <v>0</v>
      </c>
      <c r="E1039" s="88"/>
      <c r="F1039" s="89"/>
      <c r="H1039" s="44">
        <v>0</v>
      </c>
    </row>
    <row r="1040" spans="2:8" ht="15.75" thickBot="1" x14ac:dyDescent="0.35">
      <c r="B1040" s="92" t="s">
        <v>47</v>
      </c>
      <c r="C1040" s="93"/>
      <c r="D1040" s="99">
        <f>VLOOKUP($D1035,'3. 요건기술서 전체'!$B:$L,2,0)</f>
        <v>0</v>
      </c>
      <c r="E1040" s="100"/>
      <c r="F1040" s="101"/>
      <c r="H1040" s="44">
        <v>0</v>
      </c>
    </row>
    <row r="1041" spans="2:8" ht="15.75" thickBot="1" x14ac:dyDescent="0.35"/>
    <row r="1042" spans="2:8" x14ac:dyDescent="0.3">
      <c r="B1042" s="96" t="s">
        <v>41</v>
      </c>
      <c r="C1042" s="97"/>
      <c r="D1042" s="30" t="str">
        <f>D1034</f>
        <v>기밀보안</v>
      </c>
      <c r="E1042" s="31" t="s">
        <v>131</v>
      </c>
      <c r="F1042" s="32" t="str">
        <f>VLOOKUP($D1043,'3. 요건기술서 전체'!$B:$L,6,0)</f>
        <v>필수</v>
      </c>
      <c r="H1042" s="44" t="s">
        <v>704</v>
      </c>
    </row>
    <row r="1043" spans="2:8" x14ac:dyDescent="0.3">
      <c r="B1043" s="94" t="s">
        <v>42</v>
      </c>
      <c r="C1043" s="95"/>
      <c r="D1043" s="33" t="str">
        <f>LEFT(D1035,3)&amp;"-"&amp;TEXT(VALUE(RIGHT(D1035,3))+1,"000")</f>
        <v>PSR-003</v>
      </c>
      <c r="E1043" s="34" t="s">
        <v>85</v>
      </c>
      <c r="F1043" s="35" t="str">
        <f>IFERROR(TRIM(IF(VLOOKUP($D1043,'3. 요건기술서 전체'!$B:$L,10,0)&lt;&gt;"",IF(VLOOKUP($D1043,'3. 요건기술서 전체'!$B:$L,10,0)="O", "한난O", IF(VLOOKUP($D1043,'3. 요건기술서 전체'!$B:$L,10,0)="X", "한난X", "")),"") &amp; " " &amp;IF(VLOOKUP($D1043,'3. 요건기술서 전체'!$B:$L,11,0)&lt;&gt;"",IF(VLOOKUP($D1043,'3. 요건기술서 전체'!$B:$L,11,0)="O", "외부O", IF(VLOOKUP($D1043,'3. 요건기술서 전체'!$B:$L,11,0)="X", "외부X", "")),"")),"")</f>
        <v/>
      </c>
      <c r="H1043" s="44" t="s">
        <v>498</v>
      </c>
    </row>
    <row r="1044" spans="2:8" x14ac:dyDescent="0.3">
      <c r="B1044" s="94" t="s">
        <v>43</v>
      </c>
      <c r="C1044" s="95"/>
      <c r="D1044" s="85" t="str">
        <f>VLOOKUP($D1043,'3. 요건기술서 전체'!$B:$L,5,0)</f>
        <v>교육 및 기술 지원</v>
      </c>
      <c r="E1044" s="86"/>
      <c r="F1044" s="87"/>
      <c r="H1044" s="44" t="s">
        <v>499</v>
      </c>
    </row>
    <row r="1045" spans="2:8" x14ac:dyDescent="0.3">
      <c r="B1045" s="98" t="s">
        <v>44</v>
      </c>
      <c r="C1045" s="43" t="s">
        <v>45</v>
      </c>
      <c r="D1045" s="85" t="str">
        <f>VLOOKUP($D1043,'3. 요건기술서 전체'!$B:$L,7,0)</f>
        <v>교육 및 기술 지원 사항</v>
      </c>
      <c r="E1045" s="86"/>
      <c r="F1045" s="87"/>
      <c r="H1045" s="44" t="s">
        <v>624</v>
      </c>
    </row>
    <row r="1046" spans="2:8" ht="76.5" x14ac:dyDescent="0.3">
      <c r="B1046" s="98"/>
      <c r="C1046" s="43" t="s">
        <v>46</v>
      </c>
      <c r="D1046" s="85" t="str">
        <f>VLOOKUP($D1043,'3. 요건기술서 전체'!$B:$L,8,0)</f>
        <v>○ 교육 및 기술지원
 - 사업관련 기술 습득을 위한 각 직무별 체계적인 교육 및 기술지원 계획 수립
 - 업무 프로세스 변화에 대한 대상 부서별 교육, 설명회, 워크샵 등을 시행
 - 수행사는 공사와 협의한 교육훈련 계획에 따라 체계적이고 실질적인 교육훈련을 시행
 - 교육은 내용에 따라 유지보수업무 담당자와 사용자를 나누어 실시하며, 세부 일정 및 내용은 공사와 협의하여 결정
 - 공사는 사업 추진에 필요하다고 판단되는 기타 설명회, 교육을 요구할 수 있으며 이에 응해야 함</v>
      </c>
      <c r="E1046" s="86"/>
      <c r="F1046" s="87"/>
      <c r="H1046" s="44" t="s">
        <v>859</v>
      </c>
    </row>
    <row r="1047" spans="2:8" x14ac:dyDescent="0.3">
      <c r="B1047" s="90" t="s">
        <v>871</v>
      </c>
      <c r="C1047" s="91"/>
      <c r="D1047" s="88" t="str">
        <f>VLOOKUP(D1043, '3. 요건기술서 전체'!$B:$L, 9, 0)</f>
        <v>교육계획서 및 교육결과보고서</v>
      </c>
      <c r="E1047" s="88"/>
      <c r="F1047" s="89"/>
      <c r="H1047" s="44" t="s">
        <v>880</v>
      </c>
    </row>
    <row r="1048" spans="2:8" ht="15.75" thickBot="1" x14ac:dyDescent="0.35">
      <c r="B1048" s="92" t="s">
        <v>47</v>
      </c>
      <c r="C1048" s="93"/>
      <c r="D1048" s="99">
        <f>VLOOKUP($D1043,'3. 요건기술서 전체'!$B:$L,2,0)</f>
        <v>0</v>
      </c>
      <c r="E1048" s="100"/>
      <c r="F1048" s="101"/>
      <c r="H1048" s="44">
        <v>0</v>
      </c>
    </row>
    <row r="1049" spans="2:8" ht="15.75" thickBot="1" x14ac:dyDescent="0.35"/>
    <row r="1050" spans="2:8" x14ac:dyDescent="0.3">
      <c r="B1050" s="96" t="s">
        <v>41</v>
      </c>
      <c r="C1050" s="97"/>
      <c r="D1050" s="30" t="str">
        <f>D1042</f>
        <v>기밀보안</v>
      </c>
      <c r="E1050" s="31" t="s">
        <v>131</v>
      </c>
      <c r="F1050" s="32" t="str">
        <f>VLOOKUP($D1051,'3. 요건기술서 전체'!$B:$L,6,0)</f>
        <v>필수</v>
      </c>
      <c r="H1050" s="44" t="s">
        <v>704</v>
      </c>
    </row>
    <row r="1051" spans="2:8" x14ac:dyDescent="0.3">
      <c r="B1051" s="94" t="s">
        <v>42</v>
      </c>
      <c r="C1051" s="95"/>
      <c r="D1051" s="33" t="str">
        <f>LEFT(D1043,3)&amp;"-"&amp;TEXT(VALUE(RIGHT(D1043,3))+1,"000")</f>
        <v>PSR-004</v>
      </c>
      <c r="E1051" s="34" t="s">
        <v>85</v>
      </c>
      <c r="F1051" s="35" t="str">
        <f>IFERROR(TRIM(IF(VLOOKUP($D1051,'3. 요건기술서 전체'!$B:$L,10,0)&lt;&gt;"",IF(VLOOKUP($D1051,'3. 요건기술서 전체'!$B:$L,10,0)="O", "한난O", IF(VLOOKUP($D1051,'3. 요건기술서 전체'!$B:$L,10,0)="X", "한난X", "")),"") &amp; " " &amp;IF(VLOOKUP($D1051,'3. 요건기술서 전체'!$B:$L,11,0)&lt;&gt;"",IF(VLOOKUP($D1051,'3. 요건기술서 전체'!$B:$L,11,0)="O", "외부O", IF(VLOOKUP($D1051,'3. 요건기술서 전체'!$B:$L,11,0)="X", "외부X", "")),"")),"")</f>
        <v/>
      </c>
      <c r="H1051" s="44" t="s">
        <v>500</v>
      </c>
    </row>
    <row r="1052" spans="2:8" x14ac:dyDescent="0.3">
      <c r="B1052" s="94" t="s">
        <v>43</v>
      </c>
      <c r="C1052" s="95"/>
      <c r="D1052" s="85" t="str">
        <f>VLOOKUP($D1051,'3. 요건기술서 전체'!$B:$L,5,0)</f>
        <v>기술이전</v>
      </c>
      <c r="E1052" s="86"/>
      <c r="F1052" s="87"/>
      <c r="H1052" s="44" t="s">
        <v>501</v>
      </c>
    </row>
    <row r="1053" spans="2:8" x14ac:dyDescent="0.3">
      <c r="B1053" s="98" t="s">
        <v>44</v>
      </c>
      <c r="C1053" s="43" t="s">
        <v>45</v>
      </c>
      <c r="D1053" s="85" t="str">
        <f>VLOOKUP($D1051,'3. 요건기술서 전체'!$B:$L,7,0)</f>
        <v>기술이전 방안</v>
      </c>
      <c r="E1053" s="86"/>
      <c r="F1053" s="87"/>
      <c r="H1053" s="44" t="s">
        <v>625</v>
      </c>
    </row>
    <row r="1054" spans="2:8" ht="89.25" x14ac:dyDescent="0.3">
      <c r="B1054" s="98"/>
      <c r="C1054" s="43" t="s">
        <v>46</v>
      </c>
      <c r="D1054" s="85" t="str">
        <f>VLOOKUP($D1051,'3. 요건기술서 전체'!$B:$L,8,0)</f>
        <v>○ 기술이전
 - 수행사는 공사의 운영자에게 교육 및 기술이전을 완수해야 함
 - 수행사는 시스템의 개발 및 운영, 모니터링 및 보안, 비상복구 방법 등 시스템 구성방법 및 장애 대체 방법, 기타 운영에 관한 사항 등 시스템 운영자의 자체 유지관리 능력 배양을 위한 기술 이전 계획을 제시하여야 함
 - 사업 수행과정과 관련된 필요한 기술이전 대상을 구체적으로 제시하여야 함
 - 시스템 운영자의 안정적 운영을 위한 기술 이전 분야, 방안, 기간 등에 대한 계획을 제시하여야 함
 - 수행사는 시스템의 확장/교체/변경 및 기능 보완, 연계 등에 필요한 제반 기술사항을 지원해야 함</v>
      </c>
      <c r="E1054" s="86"/>
      <c r="F1054" s="87"/>
      <c r="H1054" s="44" t="s">
        <v>1111</v>
      </c>
    </row>
    <row r="1055" spans="2:8" ht="25.5" x14ac:dyDescent="0.3">
      <c r="B1055" s="90" t="s">
        <v>871</v>
      </c>
      <c r="C1055" s="91"/>
      <c r="D1055" s="88" t="str">
        <f>VLOOKUP(D1051, '3. 요건기술서 전체'!$B:$L, 9, 0)</f>
        <v>기술이전계획서,
시스템 운영 및 유지관리 지침서</v>
      </c>
      <c r="E1055" s="88"/>
      <c r="F1055" s="89"/>
      <c r="H1055" s="44" t="s">
        <v>1112</v>
      </c>
    </row>
    <row r="1056" spans="2:8" ht="15.75" thickBot="1" x14ac:dyDescent="0.35">
      <c r="B1056" s="92" t="s">
        <v>47</v>
      </c>
      <c r="C1056" s="93"/>
      <c r="D1056" s="99">
        <f>VLOOKUP($D1051,'3. 요건기술서 전체'!$B:$L,2,0)</f>
        <v>0</v>
      </c>
      <c r="E1056" s="100"/>
      <c r="F1056" s="101"/>
      <c r="H1056" s="44">
        <v>0</v>
      </c>
    </row>
    <row r="1057" spans="2:8" ht="15.75" thickBot="1" x14ac:dyDescent="0.35"/>
    <row r="1058" spans="2:8" x14ac:dyDescent="0.3">
      <c r="B1058" s="96" t="s">
        <v>41</v>
      </c>
      <c r="C1058" s="97"/>
      <c r="D1058" s="30" t="str">
        <f>D1050</f>
        <v>기밀보안</v>
      </c>
      <c r="E1058" s="31" t="s">
        <v>131</v>
      </c>
      <c r="F1058" s="32" t="str">
        <f>VLOOKUP($D1059,'3. 요건기술서 전체'!$B:$L,6,0)</f>
        <v>필수</v>
      </c>
      <c r="H1058" s="44" t="s">
        <v>704</v>
      </c>
    </row>
    <row r="1059" spans="2:8" x14ac:dyDescent="0.3">
      <c r="B1059" s="94" t="s">
        <v>42</v>
      </c>
      <c r="C1059" s="95"/>
      <c r="D1059" s="33" t="str">
        <f>LEFT(D1051,3)&amp;"-"&amp;TEXT(VALUE(RIGHT(D1051,3))+1,"000")</f>
        <v>PSR-005</v>
      </c>
      <c r="E1059" s="34" t="s">
        <v>85</v>
      </c>
      <c r="F1059" s="35" t="str">
        <f>IFERROR(TRIM(IF(VLOOKUP($D1059,'3. 요건기술서 전체'!$B:$L,10,0)&lt;&gt;"",IF(VLOOKUP($D1059,'3. 요건기술서 전체'!$B:$L,10,0)="O", "한난O", IF(VLOOKUP($D1059,'3. 요건기술서 전체'!$B:$L,10,0)="X", "한난X", "")),"") &amp; " " &amp;IF(VLOOKUP($D1059,'3. 요건기술서 전체'!$B:$L,11,0)&lt;&gt;"",IF(VLOOKUP($D1059,'3. 요건기술서 전체'!$B:$L,11,0)="O", "외부O", IF(VLOOKUP($D1059,'3. 요건기술서 전체'!$B:$L,11,0)="X", "외부X", "")),"")),"")</f>
        <v/>
      </c>
      <c r="H1059" s="44" t="s">
        <v>502</v>
      </c>
    </row>
    <row r="1060" spans="2:8" x14ac:dyDescent="0.3">
      <c r="B1060" s="94" t="s">
        <v>43</v>
      </c>
      <c r="C1060" s="95"/>
      <c r="D1060" s="85" t="str">
        <f>VLOOKUP($D1059,'3. 요건기술서 전체'!$B:$L,5,0)</f>
        <v>하자보수</v>
      </c>
      <c r="E1060" s="86"/>
      <c r="F1060" s="87"/>
      <c r="H1060" s="44" t="s">
        <v>503</v>
      </c>
    </row>
    <row r="1061" spans="2:8" x14ac:dyDescent="0.3">
      <c r="B1061" s="98" t="s">
        <v>44</v>
      </c>
      <c r="C1061" s="43" t="s">
        <v>45</v>
      </c>
      <c r="D1061" s="85" t="str">
        <f>VLOOKUP($D1059,'3. 요건기술서 전체'!$B:$L,7,0)</f>
        <v>목표시스템의 하자보수에 관한 사항</v>
      </c>
      <c r="E1061" s="86"/>
      <c r="F1061" s="87"/>
      <c r="H1061" s="44" t="s">
        <v>626</v>
      </c>
    </row>
    <row r="1062" spans="2:8" ht="280.5" x14ac:dyDescent="0.3">
      <c r="B1062" s="98"/>
      <c r="C1062" s="43" t="s">
        <v>46</v>
      </c>
      <c r="D1062" s="85" t="str">
        <f>VLOOKUP($D1059,'3. 요건기술서 전체'!$B:$L,8,0)</f>
        <v>○ 본 사업의 하자담보책임 기간은 계약예규의 용역계약일반조건 제58조 제1항에 따라 검사에 의하여 사업의 종료 후 1년간으로 함
○ 하자담보 범위는 계약예규 용역계약일반조건 제58조에 따라 하자담보책임 기간 중에 발생한 소프트웨어 또는 정보시스템 등의 결함을 수정하는 것을 말한다. 다만, 아래의 경우 유상유지관리 및 재개발로 본다.
  - 하자보수기간 경과 후 발생된 하자에 대한 복구 및 지원
  - 과업내용서상 반영되지 않은 개선
  - 이미 구매한 물품 또는 이와 연동된 제품을 기초로 추가되는 개발 및 구축
  - 사용방법의 개선을 위한 요구사항 추가
  - 계약서에 명시되지 않은 사용자에 대한 교육 및 기술지원
○ 제안사는 소프트웨어(솔루션 등 추가 도입 시) 라이선스 정책, 업그레이드 조건, 유상 유지관리의 요율이 포함된 유지관리 조건을 자사, 제조사 또는 공급사로부터 확인하여 제안서에 제시하여야 하고, 기술지원확약서(유지관리 보증서)에 상기 내용을 포함하여 계약 전까지 제출
○ 무상 하자보증기간 만료 후 유상 유지관리 계약 체결 시 구매·납품한 SW의 유지관리 비용은 SW대가산정가이드 및 우리공사 정보시스템 유지관리 요율을 기준으로 하되 상호 협의하여 결정
○ 제안사는 시스템 체계 전반에 걸쳐 상세한 하자․유지관리 계획을 수립 및 제출
○ 하자담보책임 기간 내에 하자가 발생하여 하자보수를 요청한 경우 계약상대자는 요청을 받은 즉시 그 하자를 보수하여야 하며 해당 하자의 발생원인 및 기타 조치사항을 명시하여 사업담당자에게 제출하여야 함
○ 제안사는 하자담보책임 범위와 향후 수행할 유지관리 범위 및 대가에 대해 명확하게 구분하여 제안하여야 함
○ 계약상대자가 제3자로부터 구매하여 공급한 제품과 자체 개발한 SW를 포함한 전 시스템의 하자담보 책임기간은 준공검사완료일로부터 1년으로 한다. (단, H/W는 3년)
○ 모든 SW는 안정성이 입증된 최신 버전으로 제공해야 함
○ 계약상대자는 본 용역에 참여한 기술자들의 이직 등 신변 변동이 있을 경우에는 하자보수 책임기간에 지장이 없도록 적절한 조치를 취하여야 함
○ 계약상대자는 하자보수 책임기간에 계약상대자의 오류로 인해 발생한 본 용역의 하자에 대하여 계약상대자의 비용으로 재수행해야 하며, 하자가 발생 시에는 발주자의 요청에 의해 즉시 원인을 조사하고 시정에 필요한 조치를 제안하는 보고서를 제출해야 함</v>
      </c>
      <c r="E1062" s="86"/>
      <c r="F1062" s="87"/>
      <c r="H1062" s="44" t="s">
        <v>1113</v>
      </c>
    </row>
    <row r="1063" spans="2:8" x14ac:dyDescent="0.3">
      <c r="B1063" s="90" t="s">
        <v>871</v>
      </c>
      <c r="C1063" s="91"/>
      <c r="D1063" s="88">
        <f>VLOOKUP(D1059, '3. 요건기술서 전체'!$B:$L, 9, 0)</f>
        <v>0</v>
      </c>
      <c r="E1063" s="88"/>
      <c r="F1063" s="89"/>
      <c r="H1063" s="44">
        <v>0</v>
      </c>
    </row>
    <row r="1064" spans="2:8" ht="15.75" thickBot="1" x14ac:dyDescent="0.35">
      <c r="B1064" s="92" t="s">
        <v>47</v>
      </c>
      <c r="C1064" s="93"/>
      <c r="D1064" s="99">
        <f>VLOOKUP($D1059,'3. 요건기술서 전체'!$B:$L,2,0)</f>
        <v>0</v>
      </c>
      <c r="E1064" s="100"/>
      <c r="F1064" s="101"/>
      <c r="H1064" s="44">
        <v>0</v>
      </c>
    </row>
    <row r="1065" spans="2:8" ht="15.75" thickBot="1" x14ac:dyDescent="0.35"/>
    <row r="1066" spans="2:8" x14ac:dyDescent="0.3">
      <c r="B1066" s="96" t="s">
        <v>41</v>
      </c>
      <c r="C1066" s="97"/>
      <c r="D1066" s="30" t="str">
        <f>D1058</f>
        <v>기밀보안</v>
      </c>
      <c r="E1066" s="31" t="s">
        <v>131</v>
      </c>
      <c r="F1066" s="32" t="str">
        <f>VLOOKUP($D1067,'3. 요건기술서 전체'!$B:$L,6,0)</f>
        <v>필수</v>
      </c>
      <c r="H1066" s="44" t="s">
        <v>704</v>
      </c>
    </row>
    <row r="1067" spans="2:8" x14ac:dyDescent="0.3">
      <c r="B1067" s="94" t="s">
        <v>42</v>
      </c>
      <c r="C1067" s="95"/>
      <c r="D1067" s="33" t="str">
        <f>LEFT(D1059,3)&amp;"-"&amp;TEXT(VALUE(RIGHT(D1059,3))+1,"000")</f>
        <v>PSR-006</v>
      </c>
      <c r="E1067" s="34" t="s">
        <v>85</v>
      </c>
      <c r="F1067" s="35" t="str">
        <f>IFERROR(TRIM(IF(VLOOKUP($D1067,'3. 요건기술서 전체'!$B:$L,10,0)&lt;&gt;"",IF(VLOOKUP($D1067,'3. 요건기술서 전체'!$B:$L,10,0)="O", "한난O", IF(VLOOKUP($D1067,'3. 요건기술서 전체'!$B:$L,10,0)="X", "한난X", "")),"") &amp; " " &amp;IF(VLOOKUP($D1067,'3. 요건기술서 전체'!$B:$L,11,0)&lt;&gt;"",IF(VLOOKUP($D1067,'3. 요건기술서 전체'!$B:$L,11,0)="O", "외부O", IF(VLOOKUP($D1067,'3. 요건기술서 전체'!$B:$L,11,0)="X", "외부X", "")),"")),"")</f>
        <v/>
      </c>
      <c r="H1067" s="44" t="s">
        <v>504</v>
      </c>
    </row>
    <row r="1068" spans="2:8" x14ac:dyDescent="0.3">
      <c r="B1068" s="94" t="s">
        <v>43</v>
      </c>
      <c r="C1068" s="95"/>
      <c r="D1068" s="85" t="str">
        <f>VLOOKUP($D1067,'3. 요건기술서 전체'!$B:$L,5,0)</f>
        <v>보안서약 및 책임</v>
      </c>
      <c r="E1068" s="86"/>
      <c r="F1068" s="87"/>
      <c r="H1068" s="44" t="s">
        <v>505</v>
      </c>
    </row>
    <row r="1069" spans="2:8" x14ac:dyDescent="0.3">
      <c r="B1069" s="98" t="s">
        <v>44</v>
      </c>
      <c r="C1069" s="43" t="s">
        <v>45</v>
      </c>
      <c r="D1069" s="85" t="str">
        <f>VLOOKUP($D1067,'3. 요건기술서 전체'!$B:$L,7,0)</f>
        <v>보안서약 및 책임</v>
      </c>
      <c r="E1069" s="86"/>
      <c r="F1069" s="87"/>
      <c r="H1069" s="44" t="s">
        <v>505</v>
      </c>
    </row>
    <row r="1070" spans="2:8" ht="102" x14ac:dyDescent="0.3">
      <c r="B1070" s="98"/>
      <c r="C1070" s="43" t="s">
        <v>46</v>
      </c>
      <c r="D1070" s="85" t="str">
        <f>VLOOKUP($D1067,'3. 요건기술서 전체'!$B:$L,8,0)</f>
        <v xml:space="preserve">○ 보안서약 및 책임 개념 정의 
 - 사업에 참여하는 모든 인원은 사업 착수 시 별도양식에 의하여 보안 서약서를 반드시 제출
 - 사업 수행 중 취득한 지식에 대하여 과업수행 중은 물론 사업이 완료된 후에도 외부에 누설하거나 다른 용도로 이용해서는 안 되며, 이를 위반하였을 경우 법적인 책임을 짐
  * 사업 수행 중 취득한 보안 사항 및 시스템 내부 자료 및 통신망 구성 등에 대하여 보안을 유지 
  * 제안사는 전산실 출입 등에 필요한 보안사항을 충실히 이행 
  * 용역사업 착수 시 참여인원에 대해 법률 또는 발주처의 규정에 의한 비밀 유지의무 준수 및 위반 시 처벌 내용 등에 대한 자체 보안교육을 실시하며, 공사가 요구하는 보안교육에 참석 </v>
      </c>
      <c r="E1070" s="86"/>
      <c r="F1070" s="87"/>
      <c r="H1070" s="44" t="s">
        <v>627</v>
      </c>
    </row>
    <row r="1071" spans="2:8" x14ac:dyDescent="0.3">
      <c r="B1071" s="90" t="s">
        <v>871</v>
      </c>
      <c r="C1071" s="91"/>
      <c r="D1071" s="88">
        <f>VLOOKUP(D1067, '3. 요건기술서 전체'!$B:$L, 9, 0)</f>
        <v>0</v>
      </c>
      <c r="E1071" s="88"/>
      <c r="F1071" s="89"/>
      <c r="H1071" s="44">
        <v>0</v>
      </c>
    </row>
    <row r="1072" spans="2:8" ht="15.75" thickBot="1" x14ac:dyDescent="0.35">
      <c r="B1072" s="92" t="s">
        <v>47</v>
      </c>
      <c r="C1072" s="93"/>
      <c r="D1072" s="99">
        <f>VLOOKUP($D1067,'3. 요건기술서 전체'!$B:$L,2,0)</f>
        <v>0</v>
      </c>
      <c r="E1072" s="100"/>
      <c r="F1072" s="101"/>
      <c r="H1072" s="44">
        <v>0</v>
      </c>
    </row>
    <row r="1073" spans="2:8" ht="15.75" thickBot="1" x14ac:dyDescent="0.35"/>
    <row r="1074" spans="2:8" x14ac:dyDescent="0.3">
      <c r="B1074" s="96" t="s">
        <v>41</v>
      </c>
      <c r="C1074" s="97"/>
      <c r="D1074" s="30" t="str">
        <f>D1066</f>
        <v>기밀보안</v>
      </c>
      <c r="E1074" s="31" t="s">
        <v>131</v>
      </c>
      <c r="F1074" s="32" t="str">
        <f>VLOOKUP($D1075,'3. 요건기술서 전체'!$B:$L,6,0)</f>
        <v>필수</v>
      </c>
      <c r="H1074" s="44" t="s">
        <v>704</v>
      </c>
    </row>
    <row r="1075" spans="2:8" x14ac:dyDescent="0.3">
      <c r="B1075" s="94" t="s">
        <v>42</v>
      </c>
      <c r="C1075" s="95"/>
      <c r="D1075" s="33" t="str">
        <f>LEFT(D1067,3)&amp;"-"&amp;TEXT(VALUE(RIGHT(D1067,3))+1,"000")</f>
        <v>PSR-007</v>
      </c>
      <c r="E1075" s="34" t="s">
        <v>85</v>
      </c>
      <c r="F1075" s="35" t="str">
        <f>IFERROR(TRIM(IF(VLOOKUP($D1075,'3. 요건기술서 전체'!$B:$L,10,0)&lt;&gt;"",IF(VLOOKUP($D1075,'3. 요건기술서 전체'!$B:$L,10,0)="O", "한난O", IF(VLOOKUP($D1075,'3. 요건기술서 전체'!$B:$L,10,0)="X", "한난X", "")),"") &amp; " " &amp;IF(VLOOKUP($D1075,'3. 요건기술서 전체'!$B:$L,11,0)&lt;&gt;"",IF(VLOOKUP($D1075,'3. 요건기술서 전체'!$B:$L,11,0)="O", "외부O", IF(VLOOKUP($D1075,'3. 요건기술서 전체'!$B:$L,11,0)="X", "외부X", "")),"")),"")</f>
        <v/>
      </c>
      <c r="H1075" s="44" t="s">
        <v>506</v>
      </c>
    </row>
    <row r="1076" spans="2:8" x14ac:dyDescent="0.3">
      <c r="B1076" s="94" t="s">
        <v>43</v>
      </c>
      <c r="C1076" s="95"/>
      <c r="D1076" s="85" t="str">
        <f>VLOOKUP($D1075,'3. 요건기술서 전체'!$B:$L,5,0)</f>
        <v>인력보안관리</v>
      </c>
      <c r="E1076" s="86"/>
      <c r="F1076" s="87"/>
      <c r="H1076" s="44" t="s">
        <v>507</v>
      </c>
    </row>
    <row r="1077" spans="2:8" x14ac:dyDescent="0.3">
      <c r="B1077" s="98" t="s">
        <v>44</v>
      </c>
      <c r="C1077" s="43" t="s">
        <v>45</v>
      </c>
      <c r="D1077" s="85" t="str">
        <f>VLOOKUP($D1075,'3. 요건기술서 전체'!$B:$L,7,0)</f>
        <v>참여인원에 대한 보안관리</v>
      </c>
      <c r="E1077" s="86"/>
      <c r="F1077" s="87"/>
      <c r="H1077" s="44" t="s">
        <v>628</v>
      </c>
    </row>
    <row r="1078" spans="2:8" ht="102" x14ac:dyDescent="0.3">
      <c r="B1078" s="98"/>
      <c r="C1078" s="43" t="s">
        <v>46</v>
      </c>
      <c r="D1078" s="85" t="str">
        <f>VLOOKUP($D1075,'3. 요건기술서 전체'!$B:$L,8,0)</f>
        <v>○ 참여인원에 대한 보안관리 
 - 용역 착수 시 대표자 및 사업 참여인원에 한하여 자필서명이 들어간 보안서약서를 제출하고 신원조사에 응해야 하며 조사결과 결격사유가 없어야 하며 인력 변동사항이 발생하면 즉시 서면으로 통보
 - 공사는 사업 참여인원에 대해 비밀유지 의무 준수 및 위반 시 처벌내용 등에 대한 보안 교육을 실시할 수 있으며, 제안사는 이에 응하여야 함
 - 사업수행업체는 용역사업 수행 중 공사에서 실시하는 정기·불시 보안점검에 성실히 임하여야 하며, 보안점검 시 지적사항은 제안사 보안위규처리 기준에 따라 처리한 후, 보안위약금 부과 기준에 따라 처리
 - 사업수행업체와 사업 참여인원은 보안준수사항을 위반하여 발생하는 모든 민·형사상 책임 및 그에 따른 유·무형의 손해에 대하여 모든 책임을 져야 함</v>
      </c>
      <c r="E1078" s="86"/>
      <c r="F1078" s="87"/>
      <c r="H1078" s="44" t="s">
        <v>629</v>
      </c>
    </row>
    <row r="1079" spans="2:8" x14ac:dyDescent="0.3">
      <c r="B1079" s="90" t="s">
        <v>871</v>
      </c>
      <c r="C1079" s="91"/>
      <c r="D1079" s="88">
        <f>VLOOKUP(D1075, '3. 요건기술서 전체'!$B:$L, 9, 0)</f>
        <v>0</v>
      </c>
      <c r="E1079" s="88"/>
      <c r="F1079" s="89"/>
      <c r="H1079" s="44">
        <v>0</v>
      </c>
    </row>
    <row r="1080" spans="2:8" ht="15.75" thickBot="1" x14ac:dyDescent="0.35">
      <c r="B1080" s="92" t="s">
        <v>47</v>
      </c>
      <c r="C1080" s="93"/>
      <c r="D1080" s="99">
        <f>VLOOKUP($D1075,'3. 요건기술서 전체'!$B:$L,2,0)</f>
        <v>0</v>
      </c>
      <c r="E1080" s="100"/>
      <c r="F1080" s="101"/>
      <c r="H1080" s="44">
        <v>0</v>
      </c>
    </row>
    <row r="1081" spans="2:8" ht="15.75" thickBot="1" x14ac:dyDescent="0.35"/>
    <row r="1082" spans="2:8" x14ac:dyDescent="0.3">
      <c r="B1082" s="96" t="s">
        <v>41</v>
      </c>
      <c r="C1082" s="97"/>
      <c r="D1082" s="30" t="str">
        <f>D1074</f>
        <v>기밀보안</v>
      </c>
      <c r="E1082" s="31" t="s">
        <v>131</v>
      </c>
      <c r="F1082" s="32" t="str">
        <f>VLOOKUP($D1083,'3. 요건기술서 전체'!$B:$L,6,0)</f>
        <v>필수</v>
      </c>
      <c r="H1082" s="44" t="s">
        <v>704</v>
      </c>
    </row>
    <row r="1083" spans="2:8" x14ac:dyDescent="0.3">
      <c r="B1083" s="94" t="s">
        <v>42</v>
      </c>
      <c r="C1083" s="95"/>
      <c r="D1083" s="33" t="str">
        <f>LEFT(D1075,3)&amp;"-"&amp;TEXT(VALUE(RIGHT(D1075,3))+1,"000")</f>
        <v>PSR-008</v>
      </c>
      <c r="E1083" s="34" t="s">
        <v>85</v>
      </c>
      <c r="F1083" s="35" t="str">
        <f>IFERROR(TRIM(IF(VLOOKUP($D1083,'3. 요건기술서 전체'!$B:$L,10,0)&lt;&gt;"",IF(VLOOKUP($D1083,'3. 요건기술서 전체'!$B:$L,10,0)="O", "한난O", IF(VLOOKUP($D1083,'3. 요건기술서 전체'!$B:$L,10,0)="X", "한난X", "")),"") &amp; " " &amp;IF(VLOOKUP($D1083,'3. 요건기술서 전체'!$B:$L,11,0)&lt;&gt;"",IF(VLOOKUP($D1083,'3. 요건기술서 전체'!$B:$L,11,0)="O", "외부O", IF(VLOOKUP($D1083,'3. 요건기술서 전체'!$B:$L,11,0)="X", "외부X", "")),"")),"")</f>
        <v/>
      </c>
      <c r="H1083" s="44" t="s">
        <v>508</v>
      </c>
    </row>
    <row r="1084" spans="2:8" x14ac:dyDescent="0.3">
      <c r="B1084" s="94" t="s">
        <v>43</v>
      </c>
      <c r="C1084" s="95"/>
      <c r="D1084" s="85" t="str">
        <f>VLOOKUP($D1083,'3. 요건기술서 전체'!$B:$L,5,0)</f>
        <v>정보보안 계획 수립 및 실행</v>
      </c>
      <c r="E1084" s="86"/>
      <c r="F1084" s="87"/>
      <c r="H1084" s="44" t="s">
        <v>509</v>
      </c>
    </row>
    <row r="1085" spans="2:8" x14ac:dyDescent="0.3">
      <c r="B1085" s="98" t="s">
        <v>44</v>
      </c>
      <c r="C1085" s="43" t="s">
        <v>45</v>
      </c>
      <c r="D1085" s="85" t="str">
        <f>VLOOKUP($D1083,'3. 요건기술서 전체'!$B:$L,7,0)</f>
        <v>정보보안 계획 및 방안제시</v>
      </c>
      <c r="E1085" s="86"/>
      <c r="F1085" s="87"/>
      <c r="H1085" s="44" t="s">
        <v>630</v>
      </c>
    </row>
    <row r="1086" spans="2:8" ht="114.75" x14ac:dyDescent="0.3">
      <c r="B1086" s="98"/>
      <c r="C1086" s="43" t="s">
        <v>46</v>
      </c>
      <c r="D1086" s="85" t="str">
        <f>VLOOKUP($D1083,'3. 요건기술서 전체'!$B:$L,8,0)</f>
        <v>○ 사업수행기간 중 보안 관련법규를 준수하고, 대외 보안유지에 적극 협조하여야 함
 - 사업 수행기간 중 중요 데이터 등 정보 누출에 대비하여 구체적인 정보보호계획 및 방안 제시
○ 사업관련 자료 보안방안 개념 정의 
 - 사업수행업체는 사업기간 내 뿐만 아니라 사업완료 후에도 공사가 지정한 누출금지 대상 정보를 무단으로 누출하였을 경우 “국가를 당사자로 하는 계약에 관한 법률” 제76조에 의거 부정당업자로 지정되어 입찰참가 자격이 제한될 수 있으며, 고의나 과실을 불문하고 사업수행업체와 사업수행업체의 인력이 민·형사상의 모든 책임을 져야 한다. 
 - 누출금지 대상 정보 및 기타 사업에 필요한 정보를 요청할 시에는 자료관리 대장에 인수·인계자가 직접 서명한 후 자료를 제공 받아야 하며, 사업완료 시 관련 자료를 지체없이 반납 또는 폐기하여야 한다. 
 - 사업수행으로 생산되는 산출물 및 기록은 공사 보안담당자가 인가하지 않은 비인가자 에게 제공·대여·열람을 금지하여야 한다.</v>
      </c>
      <c r="E1086" s="86"/>
      <c r="F1086" s="87"/>
      <c r="H1086" s="44" t="s">
        <v>631</v>
      </c>
    </row>
    <row r="1087" spans="2:8" x14ac:dyDescent="0.3">
      <c r="B1087" s="90" t="s">
        <v>871</v>
      </c>
      <c r="C1087" s="91"/>
      <c r="D1087" s="88">
        <f>VLOOKUP(D1083, '3. 요건기술서 전체'!$B:$L, 9, 0)</f>
        <v>0</v>
      </c>
      <c r="E1087" s="88"/>
      <c r="F1087" s="89"/>
      <c r="H1087" s="44">
        <v>0</v>
      </c>
    </row>
    <row r="1088" spans="2:8" ht="15.75" thickBot="1" x14ac:dyDescent="0.35">
      <c r="B1088" s="92" t="s">
        <v>47</v>
      </c>
      <c r="C1088" s="93"/>
      <c r="D1088" s="99">
        <f>VLOOKUP($D1083,'3. 요건기술서 전체'!$B:$L,2,0)</f>
        <v>0</v>
      </c>
      <c r="E1088" s="100"/>
      <c r="F1088" s="101"/>
      <c r="H1088" s="44">
        <v>0</v>
      </c>
    </row>
    <row r="1089" spans="2:8" ht="15.75" thickBot="1" x14ac:dyDescent="0.35"/>
    <row r="1090" spans="2:8" x14ac:dyDescent="0.3">
      <c r="B1090" s="96" t="s">
        <v>41</v>
      </c>
      <c r="C1090" s="97"/>
      <c r="D1090" s="30" t="str">
        <f>D1082</f>
        <v>기밀보안</v>
      </c>
      <c r="E1090" s="31" t="s">
        <v>131</v>
      </c>
      <c r="F1090" s="32" t="str">
        <f>VLOOKUP($D1091,'3. 요건기술서 전체'!$B:$L,6,0)</f>
        <v>필수</v>
      </c>
      <c r="H1090" s="44" t="s">
        <v>704</v>
      </c>
    </row>
    <row r="1091" spans="2:8" x14ac:dyDescent="0.3">
      <c r="B1091" s="94" t="s">
        <v>42</v>
      </c>
      <c r="C1091" s="95"/>
      <c r="D1091" s="33" t="str">
        <f>LEFT(D1083,3)&amp;"-"&amp;TEXT(VALUE(RIGHT(D1083,3))+1,"000")</f>
        <v>PSR-009</v>
      </c>
      <c r="E1091" s="34" t="s">
        <v>85</v>
      </c>
      <c r="F1091" s="35" t="str">
        <f>IFERROR(TRIM(IF(VLOOKUP($D1091,'3. 요건기술서 전체'!$B:$L,10,0)&lt;&gt;"",IF(VLOOKUP($D1091,'3. 요건기술서 전체'!$B:$L,10,0)="O", "한난O", IF(VLOOKUP($D1091,'3. 요건기술서 전체'!$B:$L,10,0)="X", "한난X", "")),"") &amp; " " &amp;IF(VLOOKUP($D1091,'3. 요건기술서 전체'!$B:$L,11,0)&lt;&gt;"",IF(VLOOKUP($D1091,'3. 요건기술서 전체'!$B:$L,11,0)="O", "외부O", IF(VLOOKUP($D1091,'3. 요건기술서 전체'!$B:$L,11,0)="X", "외부X", "")),"")),"")</f>
        <v/>
      </c>
      <c r="H1091" s="44" t="s">
        <v>510</v>
      </c>
    </row>
    <row r="1092" spans="2:8" x14ac:dyDescent="0.3">
      <c r="B1092" s="94" t="s">
        <v>43</v>
      </c>
      <c r="C1092" s="95"/>
      <c r="D1092" s="85" t="str">
        <f>VLOOKUP($D1091,'3. 요건기술서 전체'!$B:$L,5,0)</f>
        <v>장애관리 및 백업</v>
      </c>
      <c r="E1092" s="86"/>
      <c r="F1092" s="87"/>
      <c r="H1092" s="44" t="s">
        <v>511</v>
      </c>
    </row>
    <row r="1093" spans="2:8" x14ac:dyDescent="0.3">
      <c r="B1093" s="98" t="s">
        <v>44</v>
      </c>
      <c r="C1093" s="43" t="s">
        <v>45</v>
      </c>
      <c r="D1093" s="85" t="str">
        <f>VLOOKUP($D1091,'3. 요건기술서 전체'!$B:$L,7,0)</f>
        <v>목표시스템의 장애관리 및 백업지원</v>
      </c>
      <c r="E1093" s="86"/>
      <c r="F1093" s="87"/>
      <c r="H1093" s="44" t="s">
        <v>632</v>
      </c>
    </row>
    <row r="1094" spans="2:8" ht="51" x14ac:dyDescent="0.3">
      <c r="B1094" s="98"/>
      <c r="C1094" s="43" t="s">
        <v>46</v>
      </c>
      <c r="D1094" s="85" t="str">
        <f>VLOOKUP($D1091,'3. 요건기술서 전체'!$B:$L,8,0)</f>
        <v>○ 사업의 종료 후 12개월간 시스템 이상발생 또는 장애접수 후 8시간 이내에 보수가 가능하도록 유지관리 요원의 신속한 대응 필요
○ 장애 발생 시 원인분석 및 복구 등 즉각 조치가 가능하도록 기술지원부서 확보
○ 시스템 관리 담당자를 지정하고 주기적으로 시스템 모니터링, 백업/복구, 및 작업 관리 실시
○ 장애 조치 완료 후에 처리사항에 대한 철저한 기록관리를 수행하고 공사에 레포트 제출</v>
      </c>
      <c r="E1094" s="86"/>
      <c r="F1094" s="87"/>
      <c r="H1094" s="44" t="s">
        <v>633</v>
      </c>
    </row>
    <row r="1095" spans="2:8" x14ac:dyDescent="0.3">
      <c r="B1095" s="90" t="s">
        <v>871</v>
      </c>
      <c r="C1095" s="91"/>
      <c r="D1095" s="88">
        <f>VLOOKUP(D1091, '3. 요건기술서 전체'!$B:$L, 9, 0)</f>
        <v>0</v>
      </c>
      <c r="E1095" s="88"/>
      <c r="F1095" s="89"/>
      <c r="H1095" s="44">
        <v>0</v>
      </c>
    </row>
    <row r="1096" spans="2:8" ht="15.75" thickBot="1" x14ac:dyDescent="0.35">
      <c r="B1096" s="92" t="s">
        <v>47</v>
      </c>
      <c r="C1096" s="93"/>
      <c r="D1096" s="99">
        <f>VLOOKUP($D1091,'3. 요건기술서 전체'!$B:$L,2,0)</f>
        <v>0</v>
      </c>
      <c r="E1096" s="100"/>
      <c r="F1096" s="101"/>
      <c r="H1096" s="44">
        <v>0</v>
      </c>
    </row>
    <row r="1097" spans="2:8" ht="15.75" thickBot="1" x14ac:dyDescent="0.35"/>
    <row r="1098" spans="2:8" x14ac:dyDescent="0.3">
      <c r="B1098" s="96" t="s">
        <v>41</v>
      </c>
      <c r="C1098" s="97"/>
      <c r="D1098" s="30" t="s">
        <v>54</v>
      </c>
      <c r="E1098" s="31" t="s">
        <v>131</v>
      </c>
      <c r="F1098" s="32" t="str">
        <f>VLOOKUP($D1099,'3. 요건기술서 전체'!$B:$L,6,0)</f>
        <v>필수</v>
      </c>
      <c r="H1098" s="44" t="s">
        <v>705</v>
      </c>
    </row>
    <row r="1099" spans="2:8" x14ac:dyDescent="0.3">
      <c r="B1099" s="94" t="s">
        <v>42</v>
      </c>
      <c r="C1099" s="95"/>
      <c r="D1099" s="33" t="s">
        <v>523</v>
      </c>
      <c r="E1099" s="34" t="s">
        <v>85</v>
      </c>
      <c r="F1099" s="35" t="str">
        <f>IFERROR(TRIM(IF(VLOOKUP($D1099,'3. 요건기술서 전체'!$B:$L,10,0)&lt;&gt;"",IF(VLOOKUP($D1099,'3. 요건기술서 전체'!$B:$L,10,0)="O", "한난O", IF(VLOOKUP($D1099,'3. 요건기술서 전체'!$B:$L,10,0)="X", "한난X", "")),"") &amp; " " &amp;IF(VLOOKUP($D1099,'3. 요건기술서 전체'!$B:$L,11,0)&lt;&gt;"",IF(VLOOKUP($D1099,'3. 요건기술서 전체'!$B:$L,11,0)="O", "외부O", IF(VLOOKUP($D1099,'3. 요건기술서 전체'!$B:$L,11,0)="X", "외부X", "")),"")),"")</f>
        <v/>
      </c>
      <c r="H1099" s="44" t="s">
        <v>512</v>
      </c>
    </row>
    <row r="1100" spans="2:8" x14ac:dyDescent="0.3">
      <c r="B1100" s="94" t="s">
        <v>43</v>
      </c>
      <c r="C1100" s="95"/>
      <c r="D1100" s="85" t="str">
        <f>VLOOKUP($D1099,'3. 요건기술서 전체'!$B:$L,5,0)</f>
        <v>표준화 방안 수립</v>
      </c>
      <c r="E1100" s="86"/>
      <c r="F1100" s="87"/>
      <c r="H1100" s="44" t="s">
        <v>513</v>
      </c>
    </row>
    <row r="1101" spans="2:8" x14ac:dyDescent="0.3">
      <c r="B1101" s="98" t="s">
        <v>44</v>
      </c>
      <c r="C1101" s="43" t="s">
        <v>45</v>
      </c>
      <c r="D1101" s="85" t="str">
        <f>VLOOKUP($D1099,'3. 요건기술서 전체'!$B:$L,7,0)</f>
        <v>표준화 방법론 제시</v>
      </c>
      <c r="E1101" s="86"/>
      <c r="F1101" s="87"/>
      <c r="H1101" s="44" t="s">
        <v>634</v>
      </c>
    </row>
    <row r="1102" spans="2:8" x14ac:dyDescent="0.3">
      <c r="B1102" s="98"/>
      <c r="C1102" s="43" t="s">
        <v>46</v>
      </c>
      <c r="D1102" s="85" t="str">
        <f>VLOOKUP($D1099,'3. 요건기술서 전체'!$B:$L,8,0)</f>
        <v>○ 설비, 자재, 유지보수,건설시스템 DB  표준화 방법론(활동, 일정 등) 정의 및 제시</v>
      </c>
      <c r="E1102" s="86"/>
      <c r="F1102" s="87"/>
      <c r="H1102" s="44" t="s">
        <v>635</v>
      </c>
    </row>
    <row r="1103" spans="2:8" ht="25.5" x14ac:dyDescent="0.3">
      <c r="B1103" s="90" t="s">
        <v>871</v>
      </c>
      <c r="C1103" s="91"/>
      <c r="D1103" s="88" t="str">
        <f>VLOOKUP(D1099, '3. 요건기술서 전체'!$B:$L, 9, 0)</f>
        <v>표준체계 표준화 방법론 정의서,
To-be 프로세스 정의서</v>
      </c>
      <c r="E1103" s="88"/>
      <c r="F1103" s="89"/>
      <c r="H1103" s="44" t="s">
        <v>1114</v>
      </c>
    </row>
    <row r="1104" spans="2:8" ht="15.75" thickBot="1" x14ac:dyDescent="0.35">
      <c r="B1104" s="92" t="s">
        <v>47</v>
      </c>
      <c r="C1104" s="93"/>
      <c r="D1104" s="99">
        <f>VLOOKUP($D1099,'3. 요건기술서 전체'!$B:$L,2,0)</f>
        <v>0</v>
      </c>
      <c r="E1104" s="100"/>
      <c r="F1104" s="101"/>
      <c r="H1104" s="44">
        <v>0</v>
      </c>
    </row>
    <row r="1105" spans="2:8" ht="15.75" thickBot="1" x14ac:dyDescent="0.35"/>
    <row r="1106" spans="2:8" x14ac:dyDescent="0.3">
      <c r="B1106" s="96" t="s">
        <v>41</v>
      </c>
      <c r="C1106" s="97"/>
      <c r="D1106" s="30" t="str">
        <f>D1098</f>
        <v>컨설팅 요구사항</v>
      </c>
      <c r="E1106" s="31" t="s">
        <v>131</v>
      </c>
      <c r="F1106" s="32" t="str">
        <f>VLOOKUP($D1107,'3. 요건기술서 전체'!$B:$L,6,0)</f>
        <v>필수</v>
      </c>
      <c r="H1106" s="44" t="s">
        <v>705</v>
      </c>
    </row>
    <row r="1107" spans="2:8" x14ac:dyDescent="0.3">
      <c r="B1107" s="94" t="s">
        <v>42</v>
      </c>
      <c r="C1107" s="95"/>
      <c r="D1107" s="33" t="str">
        <f>LEFT(D1099,3)&amp;"-"&amp;TEXT(VALUE(RIGHT(D1099,3))+1,"000")</f>
        <v>CNR-002</v>
      </c>
      <c r="E1107" s="34" t="s">
        <v>85</v>
      </c>
      <c r="F1107" s="35" t="str">
        <f>IFERROR(TRIM(IF(VLOOKUP($D1107,'3. 요건기술서 전체'!$B:$L,10,0)&lt;&gt;"",IF(VLOOKUP($D1107,'3. 요건기술서 전체'!$B:$L,10,0)="O", "한난O", IF(VLOOKUP($D1107,'3. 요건기술서 전체'!$B:$L,10,0)="X", "한난X", "")),"") &amp; " " &amp;IF(VLOOKUP($D1107,'3. 요건기술서 전체'!$B:$L,11,0)&lt;&gt;"",IF(VLOOKUP($D1107,'3. 요건기술서 전체'!$B:$L,11,0)="O", "외부O", IF(VLOOKUP($D1107,'3. 요건기술서 전체'!$B:$L,11,0)="X", "외부X", "")),"")),"")</f>
        <v/>
      </c>
      <c r="H1107" s="44" t="s">
        <v>514</v>
      </c>
    </row>
    <row r="1108" spans="2:8" x14ac:dyDescent="0.3">
      <c r="B1108" s="94" t="s">
        <v>43</v>
      </c>
      <c r="C1108" s="95"/>
      <c r="D1108" s="85" t="str">
        <f>VLOOKUP($D1107,'3. 요건기술서 전체'!$B:$L,5,0)</f>
        <v>설비 표준화 및 DB화</v>
      </c>
      <c r="E1108" s="86"/>
      <c r="F1108" s="87"/>
      <c r="H1108" s="44" t="s">
        <v>750</v>
      </c>
    </row>
    <row r="1109" spans="2:8" x14ac:dyDescent="0.3">
      <c r="B1109" s="98" t="s">
        <v>44</v>
      </c>
      <c r="C1109" s="43" t="s">
        <v>45</v>
      </c>
      <c r="D1109" s="85" t="str">
        <f>VLOOKUP($D1107,'3. 요건기술서 전체'!$B:$L,7,0)</f>
        <v>설비 표준체계 및 기준정보 표준화</v>
      </c>
      <c r="E1109" s="86"/>
      <c r="F1109" s="87"/>
      <c r="H1109" s="44" t="s">
        <v>636</v>
      </c>
    </row>
    <row r="1110" spans="2:8" ht="140.25" x14ac:dyDescent="0.3">
      <c r="B1110" s="98"/>
      <c r="C1110" s="43" t="s">
        <v>46</v>
      </c>
      <c r="D1110" s="85" t="str">
        <f>VLOOKUP($D1107,'3. 요건기술서 전체'!$B:$L,8,0)</f>
        <v>○ AI 학습 및 맥락화를 위한 우리 공사 現 설비 표준체계(기준) 수립
 - 기능위치 표준화
 - 설비 분류체계 수립
 - 설비 BOM 수립
 - 설비 속성체계 수립
 - 기능위치/설비 식별체계(품목코드 채번 체계) 수립
 - 기능위치/설비 표기체계(명명규칙, 단위, 약어 등) 수립
 - 고장코드 및 예방점검 표준화 
 - 건설업무지침서에 맞게 DCL 표준화
○ AI 학습 및 맥락화를 위한 우리 공사 19개 지사 O/H 대상 열원설비 기준정보(데이터)표준체계에 맞춰 현장조사 및 DB화
 - 현장조사 : 문서, 도면, 준공도서, 사진촬영 등 데이터 수집</v>
      </c>
      <c r="E1110" s="86"/>
      <c r="F1110" s="87"/>
      <c r="H1110" s="44" t="s">
        <v>860</v>
      </c>
    </row>
    <row r="1111" spans="2:8" x14ac:dyDescent="0.3">
      <c r="B1111" s="90" t="s">
        <v>871</v>
      </c>
      <c r="C1111" s="91"/>
      <c r="D1111" s="88" t="str">
        <f>VLOOKUP(D1107, '3. 요건기술서 전체'!$B:$L, 9, 0)</f>
        <v>설비 표준체계 정의서 및 설비 기준정보 DB</v>
      </c>
      <c r="E1111" s="88"/>
      <c r="F1111" s="89"/>
      <c r="H1111" s="44" t="s">
        <v>881</v>
      </c>
    </row>
    <row r="1112" spans="2:8" ht="15.75" thickBot="1" x14ac:dyDescent="0.35">
      <c r="B1112" s="92" t="s">
        <v>47</v>
      </c>
      <c r="C1112" s="93"/>
      <c r="D1112" s="99">
        <f>VLOOKUP($D1107,'3. 요건기술서 전체'!$B:$L,2,0)</f>
        <v>0</v>
      </c>
      <c r="E1112" s="100"/>
      <c r="F1112" s="101"/>
      <c r="H1112" s="44">
        <v>0</v>
      </c>
    </row>
    <row r="1113" spans="2:8" ht="15.75" thickBot="1" x14ac:dyDescent="0.35"/>
    <row r="1114" spans="2:8" x14ac:dyDescent="0.3">
      <c r="B1114" s="96" t="s">
        <v>41</v>
      </c>
      <c r="C1114" s="97"/>
      <c r="D1114" s="30" t="str">
        <f>D1106</f>
        <v>컨설팅 요구사항</v>
      </c>
      <c r="E1114" s="31" t="s">
        <v>131</v>
      </c>
      <c r="F1114" s="32" t="str">
        <f>VLOOKUP($D1115,'3. 요건기술서 전체'!$B:$L,6,0)</f>
        <v>필수</v>
      </c>
      <c r="H1114" s="44" t="s">
        <v>705</v>
      </c>
    </row>
    <row r="1115" spans="2:8" x14ac:dyDescent="0.3">
      <c r="B1115" s="94" t="s">
        <v>42</v>
      </c>
      <c r="C1115" s="95"/>
      <c r="D1115" s="33" t="str">
        <f>LEFT(D1107,3)&amp;"-"&amp;TEXT(VALUE(RIGHT(D1107,3))+1,"000")</f>
        <v>CNR-003</v>
      </c>
      <c r="E1115" s="34" t="s">
        <v>85</v>
      </c>
      <c r="F1115" s="35" t="str">
        <f>IFERROR(TRIM(IF(VLOOKUP($D1115,'3. 요건기술서 전체'!$B:$L,10,0)&lt;&gt;"",IF(VLOOKUP($D1115,'3. 요건기술서 전체'!$B:$L,10,0)="O", "한난O", IF(VLOOKUP($D1115,'3. 요건기술서 전체'!$B:$L,10,0)="X", "한난X", "")),"") &amp; " " &amp;IF(VLOOKUP($D1115,'3. 요건기술서 전체'!$B:$L,11,0)&lt;&gt;"",IF(VLOOKUP($D1115,'3. 요건기술서 전체'!$B:$L,11,0)="O", "외부O", IF(VLOOKUP($D1115,'3. 요건기술서 전체'!$B:$L,11,0)="X", "외부X", "")),"")),"")</f>
        <v/>
      </c>
      <c r="H1115" s="44" t="s">
        <v>515</v>
      </c>
    </row>
    <row r="1116" spans="2:8" x14ac:dyDescent="0.3">
      <c r="B1116" s="94" t="s">
        <v>43</v>
      </c>
      <c r="C1116" s="95"/>
      <c r="D1116" s="85" t="str">
        <f>VLOOKUP($D1115,'3. 요건기술서 전체'!$B:$L,5,0)</f>
        <v>자재 표준화 및 DB화</v>
      </c>
      <c r="E1116" s="86"/>
      <c r="F1116" s="87"/>
      <c r="H1116" s="44" t="s">
        <v>751</v>
      </c>
    </row>
    <row r="1117" spans="2:8" x14ac:dyDescent="0.3">
      <c r="B1117" s="98" t="s">
        <v>44</v>
      </c>
      <c r="C1117" s="43" t="s">
        <v>45</v>
      </c>
      <c r="D1117" s="85" t="str">
        <f>VLOOKUP($D1115,'3. 요건기술서 전체'!$B:$L,7,0)</f>
        <v>자재 표준체계 및 기준정보 표준화</v>
      </c>
      <c r="E1117" s="86"/>
      <c r="F1117" s="87"/>
      <c r="H1117" s="44" t="s">
        <v>637</v>
      </c>
    </row>
    <row r="1118" spans="2:8" ht="114.75" x14ac:dyDescent="0.3">
      <c r="B1118" s="98"/>
      <c r="C1118" s="43" t="s">
        <v>46</v>
      </c>
      <c r="D1118" s="85" t="str">
        <f>VLOOKUP($D1115,'3. 요건기술서 전체'!$B:$L,8,0)</f>
        <v>○ AI 학습 및 맥락화를 위한 우리 공사 現 자재 표준체계(기준) 수립
 - 자재 분류체계 수립
 - 자재 식별체계(품목코드 채번 체계) 수립
 - 자재 속성체계 수립
 - 자재 표기체계(명명규칙, 단위, 약어 등) 수립
 - 1자재 1코드 QR코드 부착
 - 자재 안전재고 산출 방안 수립(AI 기술 활용 등 제안사 특화 기능 제시)
○ AI 학습 및 맥락화를 위한 우리 공사 19개 지사 열원/열수송/열량계 자재 기준정보(데이터) 표준체계에 따른 현장조사 및 DB화
 - 현장조사 : 문서, 도면, 준공도서, 사진촬영 등 데이터 수집</v>
      </c>
      <c r="E1118" s="86"/>
      <c r="F1118" s="87"/>
      <c r="H1118" s="44" t="s">
        <v>1115</v>
      </c>
    </row>
    <row r="1119" spans="2:8" x14ac:dyDescent="0.3">
      <c r="B1119" s="90" t="s">
        <v>871</v>
      </c>
      <c r="C1119" s="91"/>
      <c r="D1119" s="88" t="str">
        <f>VLOOKUP(D1115, '3. 요건기술서 전체'!$B:$L, 9, 0)</f>
        <v>자재 표준체계 정의서 및 자재 기준정보 DB</v>
      </c>
      <c r="E1119" s="88"/>
      <c r="F1119" s="89"/>
      <c r="H1119" s="44" t="s">
        <v>775</v>
      </c>
    </row>
    <row r="1120" spans="2:8" ht="15.75" thickBot="1" x14ac:dyDescent="0.35">
      <c r="B1120" s="92" t="s">
        <v>47</v>
      </c>
      <c r="C1120" s="93"/>
      <c r="D1120" s="99">
        <f>VLOOKUP($D1115,'3. 요건기술서 전체'!$B:$L,2,0)</f>
        <v>0</v>
      </c>
      <c r="E1120" s="100"/>
      <c r="F1120" s="101"/>
      <c r="H1120" s="44">
        <v>0</v>
      </c>
    </row>
    <row r="1121" spans="2:8" ht="15.75" thickBot="1" x14ac:dyDescent="0.35"/>
    <row r="1122" spans="2:8" x14ac:dyDescent="0.3">
      <c r="B1122" s="96" t="s">
        <v>41</v>
      </c>
      <c r="C1122" s="97"/>
      <c r="D1122" s="30" t="str">
        <f>D1114</f>
        <v>컨설팅 요구사항</v>
      </c>
      <c r="E1122" s="31" t="s">
        <v>131</v>
      </c>
      <c r="F1122" s="32" t="str">
        <f>VLOOKUP($D1123,'3. 요건기술서 전체'!$B:$L,6,0)</f>
        <v>필수</v>
      </c>
      <c r="H1122" s="44" t="s">
        <v>705</v>
      </c>
    </row>
    <row r="1123" spans="2:8" x14ac:dyDescent="0.3">
      <c r="B1123" s="94" t="s">
        <v>42</v>
      </c>
      <c r="C1123" s="95"/>
      <c r="D1123" s="33" t="str">
        <f>LEFT(D1115,3)&amp;"-"&amp;TEXT(VALUE(RIGHT(D1115,3))+1,"000")</f>
        <v>CNR-004</v>
      </c>
      <c r="E1123" s="34" t="s">
        <v>85</v>
      </c>
      <c r="F1123" s="35" t="str">
        <f>IFERROR(TRIM(IF(VLOOKUP($D1123,'3. 요건기술서 전체'!$B:$L,10,0)&lt;&gt;"",IF(VLOOKUP($D1123,'3. 요건기술서 전체'!$B:$L,10,0)="O", "한난O", IF(VLOOKUP($D1123,'3. 요건기술서 전체'!$B:$L,10,0)="X", "한난X", "")),"") &amp; " " &amp;IF(VLOOKUP($D1123,'3. 요건기술서 전체'!$B:$L,11,0)&lt;&gt;"",IF(VLOOKUP($D1123,'3. 요건기술서 전체'!$B:$L,11,0)="O", "외부O", IF(VLOOKUP($D1123,'3. 요건기술서 전체'!$B:$L,11,0)="X", "외부X", "")),"")),"")</f>
        <v/>
      </c>
      <c r="H1123" s="44" t="s">
        <v>516</v>
      </c>
    </row>
    <row r="1124" spans="2:8" x14ac:dyDescent="0.3">
      <c r="B1124" s="94" t="s">
        <v>43</v>
      </c>
      <c r="C1124" s="95"/>
      <c r="D1124" s="85" t="str">
        <f>VLOOKUP($D1123,'3. 요건기술서 전체'!$B:$L,5,0)</f>
        <v>유지보수 표준화 및 DB화</v>
      </c>
      <c r="E1124" s="86"/>
      <c r="F1124" s="87"/>
      <c r="H1124" s="44" t="s">
        <v>752</v>
      </c>
    </row>
    <row r="1125" spans="2:8" x14ac:dyDescent="0.3">
      <c r="B1125" s="98" t="s">
        <v>44</v>
      </c>
      <c r="C1125" s="43" t="s">
        <v>45</v>
      </c>
      <c r="D1125" s="85" t="str">
        <f>VLOOKUP($D1123,'3. 요건기술서 전체'!$B:$L,7,0)</f>
        <v>유지보수 설계 표준화</v>
      </c>
      <c r="E1125" s="86"/>
      <c r="F1125" s="87"/>
      <c r="H1125" s="44" t="s">
        <v>638</v>
      </c>
    </row>
    <row r="1126" spans="2:8" ht="51" x14ac:dyDescent="0.3">
      <c r="B1126" s="98"/>
      <c r="C1126" s="43" t="s">
        <v>46</v>
      </c>
      <c r="D1126" s="85" t="str">
        <f>VLOOKUP($D1123,'3. 요건기술서 전체'!$B:$L,8,0)</f>
        <v>○ AI 학습 및 맥락화를 위한 우리 공사 19개 지사 O/H 대상 설비별 유지보수 설계 표준체계에 따른 표준화 및 DB 화
 - 과거 6개년 지사별 중장기 유지보수 계획을 DB화 하여 시스템 반영
 - 작업 및 공사 설계 내역
 - DH 펌프 등 DH 설비는 O/H 대상로 포함하여 DB화 한다.
○ AI 학습 및 맥락화를 위한 우리 공사 19개 지사 고장속보/상보 대응 설비별 긴급정비 작업 내역 표준체계에 따른 표준화 및 DB 화</v>
      </c>
      <c r="E1126" s="86"/>
      <c r="F1126" s="87"/>
      <c r="H1126" s="44" t="s">
        <v>1116</v>
      </c>
    </row>
    <row r="1127" spans="2:8" x14ac:dyDescent="0.3">
      <c r="B1127" s="90" t="s">
        <v>871</v>
      </c>
      <c r="C1127" s="91"/>
      <c r="D1127" s="88" t="str">
        <f>VLOOKUP(D1123, '3. 요건기술서 전체'!$B:$L, 9, 0)</f>
        <v>유지보수 표준 설계서</v>
      </c>
      <c r="E1127" s="88"/>
      <c r="F1127" s="89"/>
      <c r="H1127" s="44" t="s">
        <v>1117</v>
      </c>
    </row>
    <row r="1128" spans="2:8" ht="15.75" thickBot="1" x14ac:dyDescent="0.35">
      <c r="B1128" s="92" t="s">
        <v>47</v>
      </c>
      <c r="C1128" s="93"/>
      <c r="D1128" s="99">
        <f>VLOOKUP($D1123,'3. 요건기술서 전체'!$B:$L,2,0)</f>
        <v>0</v>
      </c>
      <c r="E1128" s="100"/>
      <c r="F1128" s="101"/>
      <c r="H1128" s="44">
        <v>0</v>
      </c>
    </row>
    <row r="1129" spans="2:8" ht="15.75" thickBot="1" x14ac:dyDescent="0.35"/>
    <row r="1130" spans="2:8" x14ac:dyDescent="0.3">
      <c r="B1130" s="96" t="s">
        <v>41</v>
      </c>
      <c r="C1130" s="97"/>
      <c r="D1130" s="30" t="str">
        <f>D1122</f>
        <v>컨설팅 요구사항</v>
      </c>
      <c r="E1130" s="31" t="s">
        <v>131</v>
      </c>
      <c r="F1130" s="32" t="str">
        <f>VLOOKUP($D1131,'3. 요건기술서 전체'!$B:$L,6,0)</f>
        <v>필수</v>
      </c>
      <c r="H1130" s="44" t="s">
        <v>705</v>
      </c>
    </row>
    <row r="1131" spans="2:8" x14ac:dyDescent="0.3">
      <c r="B1131" s="94" t="s">
        <v>42</v>
      </c>
      <c r="C1131" s="95"/>
      <c r="D1131" s="33" t="str">
        <f>LEFT(D1123,3)&amp;"-"&amp;TEXT(VALUE(RIGHT(D1123,3))+1,"000")</f>
        <v>CNR-005</v>
      </c>
      <c r="E1131" s="34" t="s">
        <v>85</v>
      </c>
      <c r="F1131" s="35" t="str">
        <f>IFERROR(TRIM(IF(VLOOKUP($D1131,'3. 요건기술서 전체'!$B:$L,10,0)&lt;&gt;"",IF(VLOOKUP($D1131,'3. 요건기술서 전체'!$B:$L,10,0)="O", "한난O", IF(VLOOKUP($D1131,'3. 요건기술서 전체'!$B:$L,10,0)="X", "한난X", "")),"") &amp; " " &amp;IF(VLOOKUP($D1131,'3. 요건기술서 전체'!$B:$L,11,0)&lt;&gt;"",IF(VLOOKUP($D1131,'3. 요건기술서 전체'!$B:$L,11,0)="O", "외부O", IF(VLOOKUP($D1131,'3. 요건기술서 전체'!$B:$L,11,0)="X", "외부X", "")),"")),"")</f>
        <v/>
      </c>
      <c r="H1131" s="44" t="s">
        <v>726</v>
      </c>
    </row>
    <row r="1132" spans="2:8" x14ac:dyDescent="0.3">
      <c r="B1132" s="94" t="s">
        <v>43</v>
      </c>
      <c r="C1132" s="95"/>
      <c r="D1132" s="85" t="str">
        <f>VLOOKUP($D1131,'3. 요건기술서 전체'!$B:$L,5,0)</f>
        <v>기존 시스템 단계적 폐기 계획 수립</v>
      </c>
      <c r="E1132" s="86"/>
      <c r="F1132" s="87"/>
      <c r="H1132" s="44" t="s">
        <v>727</v>
      </c>
    </row>
    <row r="1133" spans="2:8" x14ac:dyDescent="0.3">
      <c r="B1133" s="98" t="s">
        <v>44</v>
      </c>
      <c r="C1133" s="43" t="s">
        <v>45</v>
      </c>
      <c r="D1133" s="85" t="str">
        <f>VLOOKUP($D1131,'3. 요건기술서 전체'!$B:$L,7,0)</f>
        <v xml:space="preserve">기존 노후 시스템(PIMS, 건설관리시스템)의 현황 분석 및 단계적 폐기 로드맵 수립 </v>
      </c>
      <c r="E1133" s="86"/>
      <c r="F1133" s="87"/>
      <c r="H1133" s="44" t="s">
        <v>753</v>
      </c>
    </row>
    <row r="1134" spans="2:8" ht="89.25" x14ac:dyDescent="0.3">
      <c r="B1134" s="98"/>
      <c r="C1134" s="43" t="s">
        <v>46</v>
      </c>
      <c r="D1134" s="85" t="str">
        <f>VLOOKUP($D1131,'3. 요건기술서 전체'!$B:$L,8,0)</f>
        <v>○ 대상 시스템 현황 분석 
 -  플랜트관리시스템(PIMS) 및 건설관리시스템의 데이터 구조, 사용자 권한, 잔여 프로세스 등을 정밀 분석해야 함. 
○ 단계적 폐기 로드맵 작성 
 - 신규 시스템의 안정화 시기(오픈 후 일정 기간 병행 운영 등)를 고려하여 기존 시스템의 기능을 단계별로 중단하는 구체적인 일정을 수립해야 함. 
○ 폐기 절차 및 보고
  - 시스템 폐기 시 발생할 수 있는 업무 공백 방지 대책을 마련해야 하며, 시스템 오픈 시점에 발주기관의 별도 보고 절차(경영진 보고 등)를 지원해야 함</v>
      </c>
      <c r="E1134" s="86"/>
      <c r="F1134" s="87"/>
      <c r="H1134" s="44" t="s">
        <v>754</v>
      </c>
    </row>
    <row r="1135" spans="2:8" x14ac:dyDescent="0.3">
      <c r="B1135" s="90" t="s">
        <v>871</v>
      </c>
      <c r="C1135" s="91"/>
      <c r="D1135" s="88" t="str">
        <f>VLOOKUP(D1131, '3. 요건기술서 전체'!$B:$L, 9, 0)</f>
        <v xml:space="preserve">기존 시스템 단계적 폐기 계획서 </v>
      </c>
      <c r="E1135" s="88"/>
      <c r="F1135" s="89"/>
      <c r="H1135" s="44" t="s">
        <v>882</v>
      </c>
    </row>
    <row r="1136" spans="2:8" ht="15.75" thickBot="1" x14ac:dyDescent="0.35">
      <c r="B1136" s="92" t="s">
        <v>47</v>
      </c>
      <c r="C1136" s="93"/>
      <c r="D1136" s="99">
        <f>VLOOKUP($D1131,'3. 요건기술서 전체'!$B:$L,2,0)</f>
        <v>0</v>
      </c>
      <c r="E1136" s="100"/>
      <c r="F1136" s="101"/>
      <c r="H1136" s="44">
        <v>0</v>
      </c>
    </row>
  </sheetData>
  <mergeCells count="1549">
    <mergeCell ref="D1120:F1120"/>
    <mergeCell ref="B1122:C1122"/>
    <mergeCell ref="D1133:F1133"/>
    <mergeCell ref="D1134:F1134"/>
    <mergeCell ref="B1135:C1135"/>
    <mergeCell ref="D1135:F1135"/>
    <mergeCell ref="B1103:C1103"/>
    <mergeCell ref="D1103:F1103"/>
    <mergeCell ref="B1104:C1104"/>
    <mergeCell ref="D1104:F1104"/>
    <mergeCell ref="B1106:C1106"/>
    <mergeCell ref="B1107:C1107"/>
    <mergeCell ref="B1108:C1108"/>
    <mergeCell ref="D1108:F1108"/>
    <mergeCell ref="B1109:B1110"/>
    <mergeCell ref="D1109:F1109"/>
    <mergeCell ref="D1110:F1110"/>
    <mergeCell ref="B1111:C1111"/>
    <mergeCell ref="D1111:F1111"/>
    <mergeCell ref="B1112:C1112"/>
    <mergeCell ref="D1112:F1112"/>
    <mergeCell ref="B1123:C1123"/>
    <mergeCell ref="B1096:C1096"/>
    <mergeCell ref="D1096:F1096"/>
    <mergeCell ref="B1098:C1098"/>
    <mergeCell ref="B1099:C1099"/>
    <mergeCell ref="B1100:C1100"/>
    <mergeCell ref="D1100:F1100"/>
    <mergeCell ref="B1136:C1136"/>
    <mergeCell ref="D1136:F1136"/>
    <mergeCell ref="B1124:C1124"/>
    <mergeCell ref="D1124:F1124"/>
    <mergeCell ref="B1125:B1126"/>
    <mergeCell ref="D1125:F1125"/>
    <mergeCell ref="D1126:F1126"/>
    <mergeCell ref="B1127:C1127"/>
    <mergeCell ref="D1127:F1127"/>
    <mergeCell ref="B1128:C1128"/>
    <mergeCell ref="D1128:F1128"/>
    <mergeCell ref="B1130:C1130"/>
    <mergeCell ref="B1131:C1131"/>
    <mergeCell ref="B1132:C1132"/>
    <mergeCell ref="D1132:F1132"/>
    <mergeCell ref="B1133:B1134"/>
    <mergeCell ref="B1114:C1114"/>
    <mergeCell ref="B1115:C1115"/>
    <mergeCell ref="B1116:C1116"/>
    <mergeCell ref="D1116:F1116"/>
    <mergeCell ref="B1117:B1118"/>
    <mergeCell ref="D1117:F1117"/>
    <mergeCell ref="D1118:F1118"/>
    <mergeCell ref="B1119:C1119"/>
    <mergeCell ref="D1119:F1119"/>
    <mergeCell ref="B1120:C1120"/>
    <mergeCell ref="B1101:B1102"/>
    <mergeCell ref="D1101:F1101"/>
    <mergeCell ref="D1102:F1102"/>
    <mergeCell ref="B1076:C1076"/>
    <mergeCell ref="D1076:F1076"/>
    <mergeCell ref="B1077:B1078"/>
    <mergeCell ref="D1077:F1077"/>
    <mergeCell ref="D1078:F1078"/>
    <mergeCell ref="B1079:C1079"/>
    <mergeCell ref="D1079:F1079"/>
    <mergeCell ref="B1080:C1080"/>
    <mergeCell ref="D1080:F1080"/>
    <mergeCell ref="B1082:C1082"/>
    <mergeCell ref="B1083:C1083"/>
    <mergeCell ref="B1084:C1084"/>
    <mergeCell ref="D1084:F1084"/>
    <mergeCell ref="B1085:B1086"/>
    <mergeCell ref="D1085:F1085"/>
    <mergeCell ref="D1086:F1086"/>
    <mergeCell ref="B1087:C1087"/>
    <mergeCell ref="D1087:F1087"/>
    <mergeCell ref="B1088:C1088"/>
    <mergeCell ref="D1088:F1088"/>
    <mergeCell ref="B1090:C1090"/>
    <mergeCell ref="B1091:C1091"/>
    <mergeCell ref="B1092:C1092"/>
    <mergeCell ref="D1092:F1092"/>
    <mergeCell ref="B1093:B1094"/>
    <mergeCell ref="D1093:F1093"/>
    <mergeCell ref="D1094:F1094"/>
    <mergeCell ref="B1095:C1095"/>
    <mergeCell ref="D1095:F1095"/>
    <mergeCell ref="B1063:C1063"/>
    <mergeCell ref="D1063:F1063"/>
    <mergeCell ref="B1064:C1064"/>
    <mergeCell ref="D1064:F1064"/>
    <mergeCell ref="B1066:C1066"/>
    <mergeCell ref="B1067:C1067"/>
    <mergeCell ref="B1068:C1068"/>
    <mergeCell ref="D1068:F1068"/>
    <mergeCell ref="B1069:B1070"/>
    <mergeCell ref="D1069:F1069"/>
    <mergeCell ref="D1070:F1070"/>
    <mergeCell ref="B1071:C1071"/>
    <mergeCell ref="D1071:F1071"/>
    <mergeCell ref="B1072:C1072"/>
    <mergeCell ref="D1072:F1072"/>
    <mergeCell ref="B1074:C1074"/>
    <mergeCell ref="B1075:C1075"/>
    <mergeCell ref="B1050:C1050"/>
    <mergeCell ref="B1051:C1051"/>
    <mergeCell ref="B1052:C1052"/>
    <mergeCell ref="D1052:F1052"/>
    <mergeCell ref="B1053:B1054"/>
    <mergeCell ref="D1053:F1053"/>
    <mergeCell ref="D1054:F1054"/>
    <mergeCell ref="B1055:C1055"/>
    <mergeCell ref="D1055:F1055"/>
    <mergeCell ref="B1056:C1056"/>
    <mergeCell ref="D1056:F1056"/>
    <mergeCell ref="B1058:C1058"/>
    <mergeCell ref="B1059:C1059"/>
    <mergeCell ref="B1060:C1060"/>
    <mergeCell ref="D1060:F1060"/>
    <mergeCell ref="B1061:B1062"/>
    <mergeCell ref="D1061:F1061"/>
    <mergeCell ref="D1062:F1062"/>
    <mergeCell ref="B1037:B1038"/>
    <mergeCell ref="D1037:F1037"/>
    <mergeCell ref="D1038:F1038"/>
    <mergeCell ref="B1039:C1039"/>
    <mergeCell ref="D1039:F1039"/>
    <mergeCell ref="B1040:C1040"/>
    <mergeCell ref="D1040:F1040"/>
    <mergeCell ref="B1042:C1042"/>
    <mergeCell ref="B1043:C1043"/>
    <mergeCell ref="B1044:C1044"/>
    <mergeCell ref="D1044:F1044"/>
    <mergeCell ref="B1045:B1046"/>
    <mergeCell ref="D1045:F1045"/>
    <mergeCell ref="D1046:F1046"/>
    <mergeCell ref="B1047:C1047"/>
    <mergeCell ref="D1047:F1047"/>
    <mergeCell ref="B1048:C1048"/>
    <mergeCell ref="D1048:F1048"/>
    <mergeCell ref="B1024:C1024"/>
    <mergeCell ref="D1024:F1024"/>
    <mergeCell ref="B1026:C1026"/>
    <mergeCell ref="B1027:C1027"/>
    <mergeCell ref="B1028:C1028"/>
    <mergeCell ref="D1028:F1028"/>
    <mergeCell ref="B1029:B1030"/>
    <mergeCell ref="D1029:F1029"/>
    <mergeCell ref="D1030:F1030"/>
    <mergeCell ref="B1031:C1031"/>
    <mergeCell ref="D1031:F1031"/>
    <mergeCell ref="B1032:C1032"/>
    <mergeCell ref="D1032:F1032"/>
    <mergeCell ref="B1034:C1034"/>
    <mergeCell ref="B1035:C1035"/>
    <mergeCell ref="B1036:C1036"/>
    <mergeCell ref="D1036:F1036"/>
    <mergeCell ref="B1012:C1012"/>
    <mergeCell ref="D1012:F1012"/>
    <mergeCell ref="B1013:B1014"/>
    <mergeCell ref="D1013:F1013"/>
    <mergeCell ref="D1014:F1014"/>
    <mergeCell ref="B1015:C1015"/>
    <mergeCell ref="D1015:F1015"/>
    <mergeCell ref="B1016:C1016"/>
    <mergeCell ref="D1016:F1016"/>
    <mergeCell ref="B1018:C1018"/>
    <mergeCell ref="B1019:C1019"/>
    <mergeCell ref="B1020:C1020"/>
    <mergeCell ref="D1020:F1020"/>
    <mergeCell ref="B1021:B1022"/>
    <mergeCell ref="D1021:F1021"/>
    <mergeCell ref="D1022:F1022"/>
    <mergeCell ref="B1023:C1023"/>
    <mergeCell ref="D1023:F1023"/>
    <mergeCell ref="B981:B982"/>
    <mergeCell ref="D981:F981"/>
    <mergeCell ref="D982:F982"/>
    <mergeCell ref="B984:C984"/>
    <mergeCell ref="B987:C987"/>
    <mergeCell ref="D988:F988"/>
    <mergeCell ref="B989:B990"/>
    <mergeCell ref="D989:F989"/>
    <mergeCell ref="B991:C991"/>
    <mergeCell ref="B992:C992"/>
    <mergeCell ref="B994:C994"/>
    <mergeCell ref="B976:C976"/>
    <mergeCell ref="D976:F976"/>
    <mergeCell ref="B1008:C1008"/>
    <mergeCell ref="D1008:F1008"/>
    <mergeCell ref="B1010:C1010"/>
    <mergeCell ref="B1011:C1011"/>
    <mergeCell ref="D990:F990"/>
    <mergeCell ref="D996:F996"/>
    <mergeCell ref="B997:B998"/>
    <mergeCell ref="B999:C999"/>
    <mergeCell ref="D984:F984"/>
    <mergeCell ref="B979:C979"/>
    <mergeCell ref="B978:C978"/>
    <mergeCell ref="B980:C980"/>
    <mergeCell ref="D980:F980"/>
    <mergeCell ref="B1003:C1003"/>
    <mergeCell ref="B1004:C1004"/>
    <mergeCell ref="D1004:F1004"/>
    <mergeCell ref="B1005:B1006"/>
    <mergeCell ref="D1005:F1005"/>
    <mergeCell ref="D1006:F1006"/>
    <mergeCell ref="B719:C719"/>
    <mergeCell ref="B728:C728"/>
    <mergeCell ref="D728:F728"/>
    <mergeCell ref="B732:C732"/>
    <mergeCell ref="B733:B734"/>
    <mergeCell ref="B735:C735"/>
    <mergeCell ref="D736:F736"/>
    <mergeCell ref="B739:C739"/>
    <mergeCell ref="B740:C740"/>
    <mergeCell ref="B741:B742"/>
    <mergeCell ref="D742:F742"/>
    <mergeCell ref="D744:F744"/>
    <mergeCell ref="B746:C746"/>
    <mergeCell ref="B747:C747"/>
    <mergeCell ref="B749:B750"/>
    <mergeCell ref="D749:F749"/>
    <mergeCell ref="D750:F750"/>
    <mergeCell ref="B730:C730"/>
    <mergeCell ref="B731:C731"/>
    <mergeCell ref="D732:F732"/>
    <mergeCell ref="D733:F733"/>
    <mergeCell ref="B725:B726"/>
    <mergeCell ref="D725:F725"/>
    <mergeCell ref="D726:F726"/>
    <mergeCell ref="B727:C727"/>
    <mergeCell ref="B720:C720"/>
    <mergeCell ref="D720:F720"/>
    <mergeCell ref="B722:C722"/>
    <mergeCell ref="B723:C723"/>
    <mergeCell ref="B724:C724"/>
    <mergeCell ref="D724:F724"/>
    <mergeCell ref="B743:C743"/>
    <mergeCell ref="B695:C695"/>
    <mergeCell ref="B696:C696"/>
    <mergeCell ref="B699:C699"/>
    <mergeCell ref="D700:F700"/>
    <mergeCell ref="B701:B702"/>
    <mergeCell ref="D701:F701"/>
    <mergeCell ref="B703:C703"/>
    <mergeCell ref="B704:C704"/>
    <mergeCell ref="B707:C707"/>
    <mergeCell ref="D708:F708"/>
    <mergeCell ref="B709:B710"/>
    <mergeCell ref="D709:F709"/>
    <mergeCell ref="B711:C711"/>
    <mergeCell ref="B712:C712"/>
    <mergeCell ref="B714:C714"/>
    <mergeCell ref="D716:F716"/>
    <mergeCell ref="B717:B718"/>
    <mergeCell ref="B706:C706"/>
    <mergeCell ref="B715:C715"/>
    <mergeCell ref="B716:C716"/>
    <mergeCell ref="D717:F717"/>
    <mergeCell ref="D718:F718"/>
    <mergeCell ref="D712:F712"/>
    <mergeCell ref="B708:C708"/>
    <mergeCell ref="D710:F710"/>
    <mergeCell ref="B671:C671"/>
    <mergeCell ref="B672:C672"/>
    <mergeCell ref="B675:C675"/>
    <mergeCell ref="D676:F676"/>
    <mergeCell ref="B677:B678"/>
    <mergeCell ref="D677:F677"/>
    <mergeCell ref="B679:C679"/>
    <mergeCell ref="B680:C680"/>
    <mergeCell ref="B683:C683"/>
    <mergeCell ref="D684:F684"/>
    <mergeCell ref="B685:B686"/>
    <mergeCell ref="D685:F685"/>
    <mergeCell ref="B687:C687"/>
    <mergeCell ref="B688:C688"/>
    <mergeCell ref="B691:C691"/>
    <mergeCell ref="D692:F692"/>
    <mergeCell ref="B693:B694"/>
    <mergeCell ref="D693:F693"/>
    <mergeCell ref="D686:F686"/>
    <mergeCell ref="D687:F687"/>
    <mergeCell ref="D688:F688"/>
    <mergeCell ref="B674:C674"/>
    <mergeCell ref="D679:F679"/>
    <mergeCell ref="D680:F680"/>
    <mergeCell ref="B682:C682"/>
    <mergeCell ref="B684:C684"/>
    <mergeCell ref="D671:F671"/>
    <mergeCell ref="D672:F672"/>
    <mergeCell ref="B676:C676"/>
    <mergeCell ref="D678:F678"/>
    <mergeCell ref="B647:C647"/>
    <mergeCell ref="B648:C648"/>
    <mergeCell ref="B651:C651"/>
    <mergeCell ref="D652:F652"/>
    <mergeCell ref="B653:B654"/>
    <mergeCell ref="D653:F653"/>
    <mergeCell ref="B655:C655"/>
    <mergeCell ref="B656:C656"/>
    <mergeCell ref="B659:C659"/>
    <mergeCell ref="D660:F660"/>
    <mergeCell ref="B661:B662"/>
    <mergeCell ref="D661:F661"/>
    <mergeCell ref="B663:C663"/>
    <mergeCell ref="B664:C664"/>
    <mergeCell ref="B667:C667"/>
    <mergeCell ref="D668:F668"/>
    <mergeCell ref="B669:B670"/>
    <mergeCell ref="D669:F669"/>
    <mergeCell ref="B650:C650"/>
    <mergeCell ref="B652:C652"/>
    <mergeCell ref="D654:F654"/>
    <mergeCell ref="D655:F655"/>
    <mergeCell ref="D656:F656"/>
    <mergeCell ref="B658:C658"/>
    <mergeCell ref="B660:C660"/>
    <mergeCell ref="D662:F662"/>
    <mergeCell ref="D663:F663"/>
    <mergeCell ref="D664:F664"/>
    <mergeCell ref="B666:C666"/>
    <mergeCell ref="B668:C668"/>
    <mergeCell ref="D670:F670"/>
    <mergeCell ref="D648:F648"/>
    <mergeCell ref="B623:C623"/>
    <mergeCell ref="B624:C624"/>
    <mergeCell ref="B627:C627"/>
    <mergeCell ref="D628:F628"/>
    <mergeCell ref="B629:B630"/>
    <mergeCell ref="D629:F629"/>
    <mergeCell ref="B631:C631"/>
    <mergeCell ref="B632:C632"/>
    <mergeCell ref="B635:C635"/>
    <mergeCell ref="D636:F636"/>
    <mergeCell ref="B637:B638"/>
    <mergeCell ref="D637:F637"/>
    <mergeCell ref="B639:C639"/>
    <mergeCell ref="B640:C640"/>
    <mergeCell ref="B643:C643"/>
    <mergeCell ref="D644:F644"/>
    <mergeCell ref="B645:B646"/>
    <mergeCell ref="D645:F645"/>
    <mergeCell ref="D632:F632"/>
    <mergeCell ref="D623:F623"/>
    <mergeCell ref="D624:F624"/>
    <mergeCell ref="B626:C626"/>
    <mergeCell ref="B634:C634"/>
    <mergeCell ref="B628:C628"/>
    <mergeCell ref="D630:F630"/>
    <mergeCell ref="D631:F631"/>
    <mergeCell ref="B636:C636"/>
    <mergeCell ref="D638:F638"/>
    <mergeCell ref="D639:F639"/>
    <mergeCell ref="D640:F640"/>
    <mergeCell ref="B642:C642"/>
    <mergeCell ref="B644:C644"/>
    <mergeCell ref="B597:B598"/>
    <mergeCell ref="D597:F597"/>
    <mergeCell ref="D598:F598"/>
    <mergeCell ref="B600:C600"/>
    <mergeCell ref="B603:C603"/>
    <mergeCell ref="D604:F604"/>
    <mergeCell ref="B605:B606"/>
    <mergeCell ref="D605:F605"/>
    <mergeCell ref="B607:C607"/>
    <mergeCell ref="B608:C608"/>
    <mergeCell ref="B611:C611"/>
    <mergeCell ref="D612:F612"/>
    <mergeCell ref="B613:B614"/>
    <mergeCell ref="D613:F613"/>
    <mergeCell ref="B604:C604"/>
    <mergeCell ref="D606:F606"/>
    <mergeCell ref="B595:C595"/>
    <mergeCell ref="B599:C599"/>
    <mergeCell ref="D599:F599"/>
    <mergeCell ref="D600:F600"/>
    <mergeCell ref="B602:C602"/>
    <mergeCell ref="D590:F590"/>
    <mergeCell ref="B549:B550"/>
    <mergeCell ref="D549:F549"/>
    <mergeCell ref="B551:C551"/>
    <mergeCell ref="B552:C552"/>
    <mergeCell ref="B554:C554"/>
    <mergeCell ref="D556:F556"/>
    <mergeCell ref="B557:B558"/>
    <mergeCell ref="B559:C559"/>
    <mergeCell ref="B568:C568"/>
    <mergeCell ref="D568:F568"/>
    <mergeCell ref="B560:C560"/>
    <mergeCell ref="D560:F560"/>
    <mergeCell ref="B555:C555"/>
    <mergeCell ref="D591:F591"/>
    <mergeCell ref="B594:C594"/>
    <mergeCell ref="B596:C596"/>
    <mergeCell ref="D596:F596"/>
    <mergeCell ref="B540:C540"/>
    <mergeCell ref="D540:F540"/>
    <mergeCell ref="B541:B542"/>
    <mergeCell ref="B543:C543"/>
    <mergeCell ref="D543:F543"/>
    <mergeCell ref="D544:F544"/>
    <mergeCell ref="B572:C572"/>
    <mergeCell ref="B573:B574"/>
    <mergeCell ref="B575:C575"/>
    <mergeCell ref="D575:F575"/>
    <mergeCell ref="D576:F576"/>
    <mergeCell ref="B579:C579"/>
    <mergeCell ref="B580:C580"/>
    <mergeCell ref="B581:B582"/>
    <mergeCell ref="D582:F582"/>
    <mergeCell ref="D583:F583"/>
    <mergeCell ref="D584:F584"/>
    <mergeCell ref="D520:F520"/>
    <mergeCell ref="B523:C523"/>
    <mergeCell ref="B524:C524"/>
    <mergeCell ref="B525:B526"/>
    <mergeCell ref="D526:F526"/>
    <mergeCell ref="D527:F527"/>
    <mergeCell ref="D524:F524"/>
    <mergeCell ref="D525:F525"/>
    <mergeCell ref="D518:F518"/>
    <mergeCell ref="B520:C520"/>
    <mergeCell ref="B522:C522"/>
    <mergeCell ref="B519:C519"/>
    <mergeCell ref="D519:F519"/>
    <mergeCell ref="D528:F528"/>
    <mergeCell ref="B530:C530"/>
    <mergeCell ref="B531:C531"/>
    <mergeCell ref="B533:B534"/>
    <mergeCell ref="D533:F533"/>
    <mergeCell ref="D534:F534"/>
    <mergeCell ref="B514:C514"/>
    <mergeCell ref="B515:C515"/>
    <mergeCell ref="D516:F516"/>
    <mergeCell ref="D517:F517"/>
    <mergeCell ref="D502:F502"/>
    <mergeCell ref="D503:F503"/>
    <mergeCell ref="B504:C504"/>
    <mergeCell ref="D504:F504"/>
    <mergeCell ref="D440:F440"/>
    <mergeCell ref="D439:F439"/>
    <mergeCell ref="B443:C443"/>
    <mergeCell ref="D445:F445"/>
    <mergeCell ref="B448:C448"/>
    <mergeCell ref="B450:C450"/>
    <mergeCell ref="B442:C442"/>
    <mergeCell ref="B495:C495"/>
    <mergeCell ref="D476:F476"/>
    <mergeCell ref="D487:F487"/>
    <mergeCell ref="B490:C490"/>
    <mergeCell ref="B492:C492"/>
    <mergeCell ref="B512:C512"/>
    <mergeCell ref="D512:F512"/>
    <mergeCell ref="B516:C516"/>
    <mergeCell ref="B517:B518"/>
    <mergeCell ref="B499:C499"/>
    <mergeCell ref="B500:C500"/>
    <mergeCell ref="B475:C475"/>
    <mergeCell ref="B477:B478"/>
    <mergeCell ref="D477:F477"/>
    <mergeCell ref="D478:F478"/>
    <mergeCell ref="D479:F479"/>
    <mergeCell ref="B482:C482"/>
    <mergeCell ref="B484:C484"/>
    <mergeCell ref="D484:F484"/>
    <mergeCell ref="B485:B486"/>
    <mergeCell ref="D485:F485"/>
    <mergeCell ref="D486:F486"/>
    <mergeCell ref="B488:C488"/>
    <mergeCell ref="B451:C451"/>
    <mergeCell ref="B452:C452"/>
    <mergeCell ref="D453:F453"/>
    <mergeCell ref="D452:F452"/>
    <mergeCell ref="B444:C444"/>
    <mergeCell ref="D446:F446"/>
    <mergeCell ref="D447:F447"/>
    <mergeCell ref="D448:F448"/>
    <mergeCell ref="B384:C384"/>
    <mergeCell ref="B386:C386"/>
    <mergeCell ref="D388:F388"/>
    <mergeCell ref="B389:B390"/>
    <mergeCell ref="B391:C391"/>
    <mergeCell ref="B400:C400"/>
    <mergeCell ref="D400:F400"/>
    <mergeCell ref="B404:C404"/>
    <mergeCell ref="B405:B406"/>
    <mergeCell ref="B407:C407"/>
    <mergeCell ref="D407:F407"/>
    <mergeCell ref="D408:F408"/>
    <mergeCell ref="B411:C411"/>
    <mergeCell ref="B412:C412"/>
    <mergeCell ref="D398:F398"/>
    <mergeCell ref="D399:F399"/>
    <mergeCell ref="B397:B398"/>
    <mergeCell ref="B399:C399"/>
    <mergeCell ref="B395:C395"/>
    <mergeCell ref="B396:C396"/>
    <mergeCell ref="D397:F397"/>
    <mergeCell ref="D396:F396"/>
    <mergeCell ref="B388:C388"/>
    <mergeCell ref="D390:F390"/>
    <mergeCell ref="D391:F391"/>
    <mergeCell ref="D392:F392"/>
    <mergeCell ref="B387:C387"/>
    <mergeCell ref="D389:F389"/>
    <mergeCell ref="B392:C392"/>
    <mergeCell ref="B394:C394"/>
    <mergeCell ref="D384:F384"/>
    <mergeCell ref="B327:C327"/>
    <mergeCell ref="B328:C328"/>
    <mergeCell ref="B330:C330"/>
    <mergeCell ref="D332:F332"/>
    <mergeCell ref="B333:B334"/>
    <mergeCell ref="B335:C335"/>
    <mergeCell ref="B344:C344"/>
    <mergeCell ref="D344:F344"/>
    <mergeCell ref="B348:C348"/>
    <mergeCell ref="B349:B350"/>
    <mergeCell ref="B351:C351"/>
    <mergeCell ref="D351:F351"/>
    <mergeCell ref="D333:F333"/>
    <mergeCell ref="D343:F343"/>
    <mergeCell ref="B343:C343"/>
    <mergeCell ref="D342:F342"/>
    <mergeCell ref="B341:B342"/>
    <mergeCell ref="B339:C339"/>
    <mergeCell ref="B340:C340"/>
    <mergeCell ref="B306:C306"/>
    <mergeCell ref="B307:C307"/>
    <mergeCell ref="B309:B310"/>
    <mergeCell ref="D309:F309"/>
    <mergeCell ref="D310:F310"/>
    <mergeCell ref="D311:F311"/>
    <mergeCell ref="B314:C314"/>
    <mergeCell ref="B316:C316"/>
    <mergeCell ref="D316:F316"/>
    <mergeCell ref="B317:B318"/>
    <mergeCell ref="D317:F317"/>
    <mergeCell ref="D318:F318"/>
    <mergeCell ref="B320:C320"/>
    <mergeCell ref="B323:C323"/>
    <mergeCell ref="D324:F324"/>
    <mergeCell ref="B325:B326"/>
    <mergeCell ref="D325:F325"/>
    <mergeCell ref="B319:C319"/>
    <mergeCell ref="D320:F320"/>
    <mergeCell ref="B315:C315"/>
    <mergeCell ref="B311:C311"/>
    <mergeCell ref="B312:C312"/>
    <mergeCell ref="D312:F312"/>
    <mergeCell ref="B293:B294"/>
    <mergeCell ref="B295:C295"/>
    <mergeCell ref="D295:F295"/>
    <mergeCell ref="B266:C266"/>
    <mergeCell ref="D279:F279"/>
    <mergeCell ref="D280:F280"/>
    <mergeCell ref="B280:C280"/>
    <mergeCell ref="B283:C283"/>
    <mergeCell ref="B284:C284"/>
    <mergeCell ref="D284:F284"/>
    <mergeCell ref="D296:F296"/>
    <mergeCell ref="B299:C299"/>
    <mergeCell ref="B300:C300"/>
    <mergeCell ref="B301:B302"/>
    <mergeCell ref="D302:F302"/>
    <mergeCell ref="D303:F303"/>
    <mergeCell ref="D304:F304"/>
    <mergeCell ref="B290:C290"/>
    <mergeCell ref="B291:C291"/>
    <mergeCell ref="D292:F292"/>
    <mergeCell ref="D293:F293"/>
    <mergeCell ref="D294:F294"/>
    <mergeCell ref="D286:F286"/>
    <mergeCell ref="D287:F287"/>
    <mergeCell ref="B285:B286"/>
    <mergeCell ref="B287:C287"/>
    <mergeCell ref="D285:F285"/>
    <mergeCell ref="D240:F240"/>
    <mergeCell ref="B243:C243"/>
    <mergeCell ref="B244:C244"/>
    <mergeCell ref="B245:B246"/>
    <mergeCell ref="D246:F246"/>
    <mergeCell ref="D247:F247"/>
    <mergeCell ref="D248:F248"/>
    <mergeCell ref="B250:C250"/>
    <mergeCell ref="B251:C251"/>
    <mergeCell ref="B253:B254"/>
    <mergeCell ref="D253:F253"/>
    <mergeCell ref="D254:F254"/>
    <mergeCell ref="D255:F255"/>
    <mergeCell ref="B258:C258"/>
    <mergeCell ref="B242:C242"/>
    <mergeCell ref="D262:F262"/>
    <mergeCell ref="B264:C264"/>
    <mergeCell ref="B263:C263"/>
    <mergeCell ref="D264:F264"/>
    <mergeCell ref="B259:C259"/>
    <mergeCell ref="B255:C255"/>
    <mergeCell ref="B256:C256"/>
    <mergeCell ref="D256:F256"/>
    <mergeCell ref="B248:C248"/>
    <mergeCell ref="D252:F252"/>
    <mergeCell ref="D244:F244"/>
    <mergeCell ref="D245:F245"/>
    <mergeCell ref="D263:F263"/>
    <mergeCell ref="B247:C247"/>
    <mergeCell ref="B252:C252"/>
    <mergeCell ref="B260:C260"/>
    <mergeCell ref="D260:F260"/>
    <mergeCell ref="B202:C202"/>
    <mergeCell ref="B204:C204"/>
    <mergeCell ref="D204:F204"/>
    <mergeCell ref="B205:B206"/>
    <mergeCell ref="D205:F205"/>
    <mergeCell ref="D206:F206"/>
    <mergeCell ref="B208:C208"/>
    <mergeCell ref="B211:C211"/>
    <mergeCell ref="D212:F212"/>
    <mergeCell ref="B213:B214"/>
    <mergeCell ref="D213:F213"/>
    <mergeCell ref="B215:C215"/>
    <mergeCell ref="B216:C216"/>
    <mergeCell ref="B218:C218"/>
    <mergeCell ref="D220:F220"/>
    <mergeCell ref="B221:B222"/>
    <mergeCell ref="B212:C212"/>
    <mergeCell ref="B127:C127"/>
    <mergeCell ref="D127:F127"/>
    <mergeCell ref="D128:F128"/>
    <mergeCell ref="B131:C131"/>
    <mergeCell ref="B132:C132"/>
    <mergeCell ref="B133:B134"/>
    <mergeCell ref="D134:F134"/>
    <mergeCell ref="D135:F135"/>
    <mergeCell ref="D136:F136"/>
    <mergeCell ref="B138:C138"/>
    <mergeCell ref="B139:C139"/>
    <mergeCell ref="D118:F118"/>
    <mergeCell ref="D119:F119"/>
    <mergeCell ref="B117:B118"/>
    <mergeCell ref="B119:C119"/>
    <mergeCell ref="D117:F117"/>
    <mergeCell ref="B128:C128"/>
    <mergeCell ref="B136:C136"/>
    <mergeCell ref="B135:C135"/>
    <mergeCell ref="B109:B110"/>
    <mergeCell ref="B111:C111"/>
    <mergeCell ref="B120:C120"/>
    <mergeCell ref="D120:F120"/>
    <mergeCell ref="B124:C124"/>
    <mergeCell ref="D109:F109"/>
    <mergeCell ref="B112:C112"/>
    <mergeCell ref="B114:C114"/>
    <mergeCell ref="B115:C115"/>
    <mergeCell ref="B116:C116"/>
    <mergeCell ref="D116:F116"/>
    <mergeCell ref="D110:F110"/>
    <mergeCell ref="D111:F111"/>
    <mergeCell ref="D112:F112"/>
    <mergeCell ref="D104:F104"/>
    <mergeCell ref="D103:F103"/>
    <mergeCell ref="B125:B126"/>
    <mergeCell ref="B93:B94"/>
    <mergeCell ref="D93:F93"/>
    <mergeCell ref="D94:F94"/>
    <mergeCell ref="B96:C96"/>
    <mergeCell ref="B99:C99"/>
    <mergeCell ref="D100:F100"/>
    <mergeCell ref="B101:B102"/>
    <mergeCell ref="D101:F101"/>
    <mergeCell ref="D102:F102"/>
    <mergeCell ref="B90:C90"/>
    <mergeCell ref="B92:C92"/>
    <mergeCell ref="D92:F92"/>
    <mergeCell ref="B103:C103"/>
    <mergeCell ref="B104:C104"/>
    <mergeCell ref="B106:C106"/>
    <mergeCell ref="D108:F108"/>
    <mergeCell ref="B95:C95"/>
    <mergeCell ref="D96:F96"/>
    <mergeCell ref="B91:C91"/>
    <mergeCell ref="B107:C107"/>
    <mergeCell ref="D95:F95"/>
    <mergeCell ref="B98:C98"/>
    <mergeCell ref="B100:C100"/>
    <mergeCell ref="B108:C108"/>
    <mergeCell ref="D44:F44"/>
    <mergeCell ref="B45:B46"/>
    <mergeCell ref="D45:F45"/>
    <mergeCell ref="B47:C47"/>
    <mergeCell ref="B48:C48"/>
    <mergeCell ref="B50:C50"/>
    <mergeCell ref="D52:F52"/>
    <mergeCell ref="B53:B54"/>
    <mergeCell ref="B55:C55"/>
    <mergeCell ref="B64:C64"/>
    <mergeCell ref="D64:F64"/>
    <mergeCell ref="B68:C68"/>
    <mergeCell ref="B69:B70"/>
    <mergeCell ref="D46:F46"/>
    <mergeCell ref="B39:C39"/>
    <mergeCell ref="D40:F40"/>
    <mergeCell ref="B51:C51"/>
    <mergeCell ref="D53:F53"/>
    <mergeCell ref="B56:C56"/>
    <mergeCell ref="D70:F70"/>
    <mergeCell ref="B63:C63"/>
    <mergeCell ref="B59:C59"/>
    <mergeCell ref="B60:C60"/>
    <mergeCell ref="D61:F61"/>
    <mergeCell ref="D60:F60"/>
    <mergeCell ref="D56:F56"/>
    <mergeCell ref="D48:F48"/>
    <mergeCell ref="D47:F47"/>
    <mergeCell ref="B2:C2"/>
    <mergeCell ref="B3:C3"/>
    <mergeCell ref="B4:C4"/>
    <mergeCell ref="D4:F4"/>
    <mergeCell ref="B5:B6"/>
    <mergeCell ref="D5:F5"/>
    <mergeCell ref="D6:F6"/>
    <mergeCell ref="B35:C35"/>
    <mergeCell ref="B31:C31"/>
    <mergeCell ref="B32:C32"/>
    <mergeCell ref="B24:C24"/>
    <mergeCell ref="D28:F28"/>
    <mergeCell ref="D20:F20"/>
    <mergeCell ref="D21:F21"/>
    <mergeCell ref="B18:C18"/>
    <mergeCell ref="B8:C8"/>
    <mergeCell ref="D8:F8"/>
    <mergeCell ref="B12:C12"/>
    <mergeCell ref="B13:B14"/>
    <mergeCell ref="B15:C15"/>
    <mergeCell ref="D15:F15"/>
    <mergeCell ref="D16:F16"/>
    <mergeCell ref="B19:C19"/>
    <mergeCell ref="B10:C10"/>
    <mergeCell ref="B11:C11"/>
    <mergeCell ref="D12:F12"/>
    <mergeCell ref="D13:F13"/>
    <mergeCell ref="B16:C16"/>
    <mergeCell ref="D14:F14"/>
    <mergeCell ref="B7:C7"/>
    <mergeCell ref="D7:F7"/>
    <mergeCell ref="B20:C20"/>
    <mergeCell ref="D22:F22"/>
    <mergeCell ref="D23:F23"/>
    <mergeCell ref="D24:F24"/>
    <mergeCell ref="B26:C26"/>
    <mergeCell ref="B27:C27"/>
    <mergeCell ref="B29:B30"/>
    <mergeCell ref="D29:F29"/>
    <mergeCell ref="D30:F30"/>
    <mergeCell ref="D31:F31"/>
    <mergeCell ref="B34:C34"/>
    <mergeCell ref="B36:C36"/>
    <mergeCell ref="D36:F36"/>
    <mergeCell ref="B37:B38"/>
    <mergeCell ref="B66:C66"/>
    <mergeCell ref="B67:C67"/>
    <mergeCell ref="D68:F68"/>
    <mergeCell ref="D69:F69"/>
    <mergeCell ref="B58:C58"/>
    <mergeCell ref="D39:F39"/>
    <mergeCell ref="B42:C42"/>
    <mergeCell ref="B44:C44"/>
    <mergeCell ref="B23:C23"/>
    <mergeCell ref="B28:C28"/>
    <mergeCell ref="D32:F32"/>
    <mergeCell ref="B52:C52"/>
    <mergeCell ref="D54:F54"/>
    <mergeCell ref="D55:F55"/>
    <mergeCell ref="B21:B22"/>
    <mergeCell ref="D37:F37"/>
    <mergeCell ref="D38:F38"/>
    <mergeCell ref="B40:C40"/>
    <mergeCell ref="B43:C43"/>
    <mergeCell ref="D140:F140"/>
    <mergeCell ref="D132:F132"/>
    <mergeCell ref="D133:F133"/>
    <mergeCell ref="B130:C130"/>
    <mergeCell ref="B122:C122"/>
    <mergeCell ref="B123:C123"/>
    <mergeCell ref="D124:F124"/>
    <mergeCell ref="D125:F125"/>
    <mergeCell ref="D126:F126"/>
    <mergeCell ref="B143:C143"/>
    <mergeCell ref="B144:C144"/>
    <mergeCell ref="D144:F144"/>
    <mergeCell ref="B170:C170"/>
    <mergeCell ref="D160:F160"/>
    <mergeCell ref="D159:F159"/>
    <mergeCell ref="D158:F158"/>
    <mergeCell ref="B151:C151"/>
    <mergeCell ref="D152:F152"/>
    <mergeCell ref="B162:C162"/>
    <mergeCell ref="D164:F164"/>
    <mergeCell ref="B165:B166"/>
    <mergeCell ref="B167:C167"/>
    <mergeCell ref="B141:B142"/>
    <mergeCell ref="D141:F141"/>
    <mergeCell ref="D142:F142"/>
    <mergeCell ref="D143:F143"/>
    <mergeCell ref="B146:C146"/>
    <mergeCell ref="B148:C148"/>
    <mergeCell ref="D148:F148"/>
    <mergeCell ref="B149:B150"/>
    <mergeCell ref="D149:F149"/>
    <mergeCell ref="D150:F150"/>
    <mergeCell ref="D174:F174"/>
    <mergeCell ref="D175:F175"/>
    <mergeCell ref="B173:B174"/>
    <mergeCell ref="B175:C175"/>
    <mergeCell ref="B171:C171"/>
    <mergeCell ref="B172:C172"/>
    <mergeCell ref="D173:F173"/>
    <mergeCell ref="D172:F172"/>
    <mergeCell ref="B184:C184"/>
    <mergeCell ref="B147:C147"/>
    <mergeCell ref="B176:C176"/>
    <mergeCell ref="D176:F176"/>
    <mergeCell ref="B180:C180"/>
    <mergeCell ref="B181:B182"/>
    <mergeCell ref="B183:C183"/>
    <mergeCell ref="D183:F183"/>
    <mergeCell ref="D184:F184"/>
    <mergeCell ref="D166:F166"/>
    <mergeCell ref="D167:F167"/>
    <mergeCell ref="D168:F168"/>
    <mergeCell ref="B152:C152"/>
    <mergeCell ref="B155:C155"/>
    <mergeCell ref="D156:F156"/>
    <mergeCell ref="B157:B158"/>
    <mergeCell ref="D157:F157"/>
    <mergeCell ref="B159:C159"/>
    <mergeCell ref="B160:C160"/>
    <mergeCell ref="D196:F196"/>
    <mergeCell ref="D207:F207"/>
    <mergeCell ref="B210:C210"/>
    <mergeCell ref="D188:F188"/>
    <mergeCell ref="D189:F189"/>
    <mergeCell ref="B186:C186"/>
    <mergeCell ref="B178:C178"/>
    <mergeCell ref="B179:C179"/>
    <mergeCell ref="D180:F180"/>
    <mergeCell ref="D181:F181"/>
    <mergeCell ref="D182:F182"/>
    <mergeCell ref="B187:C187"/>
    <mergeCell ref="B188:C188"/>
    <mergeCell ref="B189:B190"/>
    <mergeCell ref="D190:F190"/>
    <mergeCell ref="D191:F191"/>
    <mergeCell ref="D192:F192"/>
    <mergeCell ref="B194:C194"/>
    <mergeCell ref="B195:C195"/>
    <mergeCell ref="B197:B198"/>
    <mergeCell ref="D197:F197"/>
    <mergeCell ref="D198:F198"/>
    <mergeCell ref="B191:C191"/>
    <mergeCell ref="B196:C196"/>
    <mergeCell ref="B207:C207"/>
    <mergeCell ref="D208:F208"/>
    <mergeCell ref="B203:C203"/>
    <mergeCell ref="B199:C199"/>
    <mergeCell ref="B200:C200"/>
    <mergeCell ref="D200:F200"/>
    <mergeCell ref="B192:C192"/>
    <mergeCell ref="D199:F199"/>
    <mergeCell ref="D228:F228"/>
    <mergeCell ref="B220:C220"/>
    <mergeCell ref="D222:F222"/>
    <mergeCell ref="D223:F223"/>
    <mergeCell ref="D224:F224"/>
    <mergeCell ref="D216:F216"/>
    <mergeCell ref="D215:F215"/>
    <mergeCell ref="D214:F214"/>
    <mergeCell ref="B240:C240"/>
    <mergeCell ref="B219:C219"/>
    <mergeCell ref="D221:F221"/>
    <mergeCell ref="B224:C224"/>
    <mergeCell ref="B226:C226"/>
    <mergeCell ref="B223:C223"/>
    <mergeCell ref="B232:C232"/>
    <mergeCell ref="D232:F232"/>
    <mergeCell ref="B236:C236"/>
    <mergeCell ref="B234:C234"/>
    <mergeCell ref="B235:C235"/>
    <mergeCell ref="D236:F236"/>
    <mergeCell ref="D237:F237"/>
    <mergeCell ref="D238:F238"/>
    <mergeCell ref="D230:F230"/>
    <mergeCell ref="D231:F231"/>
    <mergeCell ref="B229:B230"/>
    <mergeCell ref="B231:C231"/>
    <mergeCell ref="B227:C227"/>
    <mergeCell ref="B228:C228"/>
    <mergeCell ref="D229:F229"/>
    <mergeCell ref="B237:B238"/>
    <mergeCell ref="B239:C239"/>
    <mergeCell ref="D239:F239"/>
    <mergeCell ref="B261:B262"/>
    <mergeCell ref="D261:F261"/>
    <mergeCell ref="B304:C304"/>
    <mergeCell ref="D308:F308"/>
    <mergeCell ref="B308:C308"/>
    <mergeCell ref="B303:C303"/>
    <mergeCell ref="D272:F272"/>
    <mergeCell ref="D271:F271"/>
    <mergeCell ref="B268:C268"/>
    <mergeCell ref="D270:F270"/>
    <mergeCell ref="B275:C275"/>
    <mergeCell ref="D277:F277"/>
    <mergeCell ref="D300:F300"/>
    <mergeCell ref="D301:F301"/>
    <mergeCell ref="B298:C298"/>
    <mergeCell ref="B296:C296"/>
    <mergeCell ref="B282:C282"/>
    <mergeCell ref="B276:C276"/>
    <mergeCell ref="D278:F278"/>
    <mergeCell ref="B267:C267"/>
    <mergeCell ref="D268:F268"/>
    <mergeCell ref="B269:B270"/>
    <mergeCell ref="D269:F269"/>
    <mergeCell ref="B271:C271"/>
    <mergeCell ref="B272:C272"/>
    <mergeCell ref="B274:C274"/>
    <mergeCell ref="D276:F276"/>
    <mergeCell ref="B277:B278"/>
    <mergeCell ref="B279:C279"/>
    <mergeCell ref="B288:C288"/>
    <mergeCell ref="D288:F288"/>
    <mergeCell ref="B292:C292"/>
    <mergeCell ref="D341:F341"/>
    <mergeCell ref="B338:C338"/>
    <mergeCell ref="D340:F340"/>
    <mergeCell ref="D319:F319"/>
    <mergeCell ref="B332:C332"/>
    <mergeCell ref="D334:F334"/>
    <mergeCell ref="D335:F335"/>
    <mergeCell ref="D336:F336"/>
    <mergeCell ref="B336:C336"/>
    <mergeCell ref="D328:F328"/>
    <mergeCell ref="D327:F327"/>
    <mergeCell ref="B324:C324"/>
    <mergeCell ref="B379:C379"/>
    <mergeCell ref="D380:F380"/>
    <mergeCell ref="B371:C371"/>
    <mergeCell ref="B381:B382"/>
    <mergeCell ref="D381:F381"/>
    <mergeCell ref="B372:C372"/>
    <mergeCell ref="D372:F372"/>
    <mergeCell ref="B373:B374"/>
    <mergeCell ref="D373:F373"/>
    <mergeCell ref="D374:F374"/>
    <mergeCell ref="B376:C376"/>
    <mergeCell ref="D326:F326"/>
    <mergeCell ref="B322:C322"/>
    <mergeCell ref="B331:C331"/>
    <mergeCell ref="B383:C383"/>
    <mergeCell ref="D375:F375"/>
    <mergeCell ref="B378:C378"/>
    <mergeCell ref="B380:C380"/>
    <mergeCell ref="D356:F356"/>
    <mergeCell ref="D357:F357"/>
    <mergeCell ref="B354:C354"/>
    <mergeCell ref="B359:C359"/>
    <mergeCell ref="B352:C352"/>
    <mergeCell ref="B346:C346"/>
    <mergeCell ref="B347:C347"/>
    <mergeCell ref="D348:F348"/>
    <mergeCell ref="D349:F349"/>
    <mergeCell ref="D350:F350"/>
    <mergeCell ref="D352:F352"/>
    <mergeCell ref="B355:C355"/>
    <mergeCell ref="B356:C356"/>
    <mergeCell ref="B357:B358"/>
    <mergeCell ref="D358:F358"/>
    <mergeCell ref="D359:F359"/>
    <mergeCell ref="D360:F360"/>
    <mergeCell ref="B367:C367"/>
    <mergeCell ref="B368:C368"/>
    <mergeCell ref="D368:F368"/>
    <mergeCell ref="B360:C360"/>
    <mergeCell ref="D364:F364"/>
    <mergeCell ref="B364:C364"/>
    <mergeCell ref="B365:B366"/>
    <mergeCell ref="D365:F365"/>
    <mergeCell ref="D366:F366"/>
    <mergeCell ref="D367:F367"/>
    <mergeCell ref="B370:C370"/>
    <mergeCell ref="B415:C415"/>
    <mergeCell ref="B420:C420"/>
    <mergeCell ref="B408:C408"/>
    <mergeCell ref="D420:F420"/>
    <mergeCell ref="D412:F412"/>
    <mergeCell ref="D413:F413"/>
    <mergeCell ref="B410:C410"/>
    <mergeCell ref="B402:C402"/>
    <mergeCell ref="B403:C403"/>
    <mergeCell ref="B163:C163"/>
    <mergeCell ref="D165:F165"/>
    <mergeCell ref="B168:C168"/>
    <mergeCell ref="D151:F151"/>
    <mergeCell ref="B154:C154"/>
    <mergeCell ref="B156:C156"/>
    <mergeCell ref="B423:C423"/>
    <mergeCell ref="B424:C424"/>
    <mergeCell ref="D424:F424"/>
    <mergeCell ref="B416:C416"/>
    <mergeCell ref="B413:B414"/>
    <mergeCell ref="D414:F414"/>
    <mergeCell ref="D415:F415"/>
    <mergeCell ref="D416:F416"/>
    <mergeCell ref="B418:C418"/>
    <mergeCell ref="B419:C419"/>
    <mergeCell ref="B421:B422"/>
    <mergeCell ref="B362:C362"/>
    <mergeCell ref="B363:C363"/>
    <mergeCell ref="D383:F383"/>
    <mergeCell ref="D382:F382"/>
    <mergeCell ref="B375:C375"/>
    <mergeCell ref="D376:F376"/>
    <mergeCell ref="B140:C140"/>
    <mergeCell ref="B164:C164"/>
    <mergeCell ref="D468:F468"/>
    <mergeCell ref="D469:F469"/>
    <mergeCell ref="B466:C466"/>
    <mergeCell ref="B458:C458"/>
    <mergeCell ref="B459:C459"/>
    <mergeCell ref="D460:F460"/>
    <mergeCell ref="D461:F461"/>
    <mergeCell ref="D462:F462"/>
    <mergeCell ref="D454:F454"/>
    <mergeCell ref="D455:F455"/>
    <mergeCell ref="B453:B454"/>
    <mergeCell ref="B455:C455"/>
    <mergeCell ref="B456:C456"/>
    <mergeCell ref="D456:F456"/>
    <mergeCell ref="B460:C460"/>
    <mergeCell ref="B461:B462"/>
    <mergeCell ref="B463:C463"/>
    <mergeCell ref="D463:F463"/>
    <mergeCell ref="D464:F464"/>
    <mergeCell ref="B467:C467"/>
    <mergeCell ref="B468:C468"/>
    <mergeCell ref="B469:B470"/>
    <mergeCell ref="D470:F470"/>
    <mergeCell ref="D404:F404"/>
    <mergeCell ref="D405:F405"/>
    <mergeCell ref="D406:F406"/>
    <mergeCell ref="D438:F438"/>
    <mergeCell ref="B431:C431"/>
    <mergeCell ref="D432:F432"/>
    <mergeCell ref="B427:C427"/>
    <mergeCell ref="B72:C72"/>
    <mergeCell ref="D62:F62"/>
    <mergeCell ref="D63:F63"/>
    <mergeCell ref="B61:B62"/>
    <mergeCell ref="B71:C71"/>
    <mergeCell ref="D71:F71"/>
    <mergeCell ref="D72:F72"/>
    <mergeCell ref="B87:C87"/>
    <mergeCell ref="B88:C88"/>
    <mergeCell ref="D88:F88"/>
    <mergeCell ref="B80:C80"/>
    <mergeCell ref="D84:F84"/>
    <mergeCell ref="D80:F80"/>
    <mergeCell ref="B82:C82"/>
    <mergeCell ref="B83:C83"/>
    <mergeCell ref="B85:B86"/>
    <mergeCell ref="D85:F85"/>
    <mergeCell ref="D86:F86"/>
    <mergeCell ref="D87:F87"/>
    <mergeCell ref="D76:F76"/>
    <mergeCell ref="D77:F77"/>
    <mergeCell ref="B74:C74"/>
    <mergeCell ref="B79:C79"/>
    <mergeCell ref="B84:C84"/>
    <mergeCell ref="B75:C75"/>
    <mergeCell ref="B76:C76"/>
    <mergeCell ref="B77:B78"/>
    <mergeCell ref="D78:F78"/>
    <mergeCell ref="D79:F79"/>
    <mergeCell ref="D421:F421"/>
    <mergeCell ref="D422:F422"/>
    <mergeCell ref="D423:F423"/>
    <mergeCell ref="B426:C426"/>
    <mergeCell ref="B428:C428"/>
    <mergeCell ref="D428:F428"/>
    <mergeCell ref="B429:B430"/>
    <mergeCell ref="D429:F429"/>
    <mergeCell ref="D430:F430"/>
    <mergeCell ref="B432:C432"/>
    <mergeCell ref="B435:C435"/>
    <mergeCell ref="B471:C471"/>
    <mergeCell ref="B476:C476"/>
    <mergeCell ref="B464:C464"/>
    <mergeCell ref="B487:C487"/>
    <mergeCell ref="D488:F488"/>
    <mergeCell ref="B483:C483"/>
    <mergeCell ref="B479:C479"/>
    <mergeCell ref="B480:C480"/>
    <mergeCell ref="D480:F480"/>
    <mergeCell ref="B472:C472"/>
    <mergeCell ref="D444:F444"/>
    <mergeCell ref="B445:B446"/>
    <mergeCell ref="B447:C447"/>
    <mergeCell ref="D431:F431"/>
    <mergeCell ref="B434:C434"/>
    <mergeCell ref="B436:C436"/>
    <mergeCell ref="D436:F436"/>
    <mergeCell ref="B437:B438"/>
    <mergeCell ref="D437:F437"/>
    <mergeCell ref="B439:C439"/>
    <mergeCell ref="B440:C440"/>
    <mergeCell ref="D501:F501"/>
    <mergeCell ref="D494:F494"/>
    <mergeCell ref="D495:F495"/>
    <mergeCell ref="D496:F496"/>
    <mergeCell ref="B496:C496"/>
    <mergeCell ref="B498:C498"/>
    <mergeCell ref="D500:F500"/>
    <mergeCell ref="B501:B502"/>
    <mergeCell ref="B503:C503"/>
    <mergeCell ref="D471:F471"/>
    <mergeCell ref="D472:F472"/>
    <mergeCell ref="B474:C474"/>
    <mergeCell ref="B491:C491"/>
    <mergeCell ref="D492:F492"/>
    <mergeCell ref="B493:B494"/>
    <mergeCell ref="D493:F493"/>
    <mergeCell ref="B592:C592"/>
    <mergeCell ref="D592:F592"/>
    <mergeCell ref="B539:C539"/>
    <mergeCell ref="B532:C532"/>
    <mergeCell ref="D532:F532"/>
    <mergeCell ref="B535:C535"/>
    <mergeCell ref="B536:C536"/>
    <mergeCell ref="D536:F536"/>
    <mergeCell ref="B527:C527"/>
    <mergeCell ref="B528:C528"/>
    <mergeCell ref="D535:F535"/>
    <mergeCell ref="B538:C538"/>
    <mergeCell ref="D551:F551"/>
    <mergeCell ref="D552:F552"/>
    <mergeCell ref="B546:C546"/>
    <mergeCell ref="B548:C548"/>
    <mergeCell ref="B618:C618"/>
    <mergeCell ref="B620:C620"/>
    <mergeCell ref="D622:F622"/>
    <mergeCell ref="B612:C612"/>
    <mergeCell ref="D614:F614"/>
    <mergeCell ref="D615:F615"/>
    <mergeCell ref="D616:F616"/>
    <mergeCell ref="D607:F607"/>
    <mergeCell ref="D608:F608"/>
    <mergeCell ref="B610:C610"/>
    <mergeCell ref="B615:C615"/>
    <mergeCell ref="B616:C616"/>
    <mergeCell ref="B619:C619"/>
    <mergeCell ref="D620:F620"/>
    <mergeCell ref="B621:B622"/>
    <mergeCell ref="D621:F621"/>
    <mergeCell ref="D541:F541"/>
    <mergeCell ref="D542:F542"/>
    <mergeCell ref="B544:C544"/>
    <mergeCell ref="B547:C547"/>
    <mergeCell ref="D548:F548"/>
    <mergeCell ref="B556:C556"/>
    <mergeCell ref="D557:F557"/>
    <mergeCell ref="D558:F558"/>
    <mergeCell ref="D559:F559"/>
    <mergeCell ref="B567:C567"/>
    <mergeCell ref="D567:F567"/>
    <mergeCell ref="D550:F550"/>
    <mergeCell ref="B586:C586"/>
    <mergeCell ref="B587:C587"/>
    <mergeCell ref="B589:B590"/>
    <mergeCell ref="D589:F589"/>
    <mergeCell ref="B744:C744"/>
    <mergeCell ref="D740:F740"/>
    <mergeCell ref="D741:F741"/>
    <mergeCell ref="D734:F734"/>
    <mergeCell ref="B736:C736"/>
    <mergeCell ref="B738:C738"/>
    <mergeCell ref="B759:C759"/>
    <mergeCell ref="D760:F760"/>
    <mergeCell ref="B755:C755"/>
    <mergeCell ref="B748:C748"/>
    <mergeCell ref="D748:F748"/>
    <mergeCell ref="B751:C751"/>
    <mergeCell ref="B752:C752"/>
    <mergeCell ref="D752:F752"/>
    <mergeCell ref="B754:C754"/>
    <mergeCell ref="B756:C756"/>
    <mergeCell ref="D756:F756"/>
    <mergeCell ref="B757:B758"/>
    <mergeCell ref="D757:F757"/>
    <mergeCell ref="D758:F758"/>
    <mergeCell ref="B760:C760"/>
    <mergeCell ref="B771:C771"/>
    <mergeCell ref="B772:C772"/>
    <mergeCell ref="D773:F773"/>
    <mergeCell ref="D774:F774"/>
    <mergeCell ref="D768:F768"/>
    <mergeCell ref="B762:C762"/>
    <mergeCell ref="B764:C764"/>
    <mergeCell ref="D766:F766"/>
    <mergeCell ref="B763:C763"/>
    <mergeCell ref="D764:F764"/>
    <mergeCell ref="B765:B766"/>
    <mergeCell ref="D765:F765"/>
    <mergeCell ref="B767:C767"/>
    <mergeCell ref="B768:C768"/>
    <mergeCell ref="B770:C770"/>
    <mergeCell ref="D772:F772"/>
    <mergeCell ref="B773:B774"/>
    <mergeCell ref="B775:C775"/>
    <mergeCell ref="B786:C786"/>
    <mergeCell ref="B787:C787"/>
    <mergeCell ref="D788:F788"/>
    <mergeCell ref="D789:F789"/>
    <mergeCell ref="B781:B782"/>
    <mergeCell ref="D781:F781"/>
    <mergeCell ref="D782:F782"/>
    <mergeCell ref="B783:C783"/>
    <mergeCell ref="B776:C776"/>
    <mergeCell ref="D776:F776"/>
    <mergeCell ref="B778:C778"/>
    <mergeCell ref="B779:C779"/>
    <mergeCell ref="B780:C780"/>
    <mergeCell ref="D780:F780"/>
    <mergeCell ref="B784:C784"/>
    <mergeCell ref="D784:F784"/>
    <mergeCell ref="B788:C788"/>
    <mergeCell ref="B789:B790"/>
    <mergeCell ref="B799:C799"/>
    <mergeCell ref="B800:C800"/>
    <mergeCell ref="D796:F796"/>
    <mergeCell ref="D797:F797"/>
    <mergeCell ref="D790:F790"/>
    <mergeCell ref="B792:C792"/>
    <mergeCell ref="B794:C794"/>
    <mergeCell ref="B791:C791"/>
    <mergeCell ref="D792:F792"/>
    <mergeCell ref="B795:C795"/>
    <mergeCell ref="B796:C796"/>
    <mergeCell ref="B797:B798"/>
    <mergeCell ref="D798:F798"/>
    <mergeCell ref="D799:F799"/>
    <mergeCell ref="D800:F800"/>
    <mergeCell ref="B802:C802"/>
    <mergeCell ref="B803:C803"/>
    <mergeCell ref="B815:C815"/>
    <mergeCell ref="D815:F815"/>
    <mergeCell ref="D816:F816"/>
    <mergeCell ref="B811:C811"/>
    <mergeCell ref="B804:C804"/>
    <mergeCell ref="D804:F804"/>
    <mergeCell ref="B807:C807"/>
    <mergeCell ref="B808:C808"/>
    <mergeCell ref="D808:F808"/>
    <mergeCell ref="B805:B806"/>
    <mergeCell ref="D805:F805"/>
    <mergeCell ref="D806:F806"/>
    <mergeCell ref="D807:F807"/>
    <mergeCell ref="B810:C810"/>
    <mergeCell ref="B812:C812"/>
    <mergeCell ref="D812:F812"/>
    <mergeCell ref="B813:B814"/>
    <mergeCell ref="D813:F813"/>
    <mergeCell ref="D814:F814"/>
    <mergeCell ref="B816:C816"/>
    <mergeCell ref="B827:C827"/>
    <mergeCell ref="B828:C828"/>
    <mergeCell ref="D829:F829"/>
    <mergeCell ref="D830:F830"/>
    <mergeCell ref="D831:F831"/>
    <mergeCell ref="D823:F823"/>
    <mergeCell ref="D824:F824"/>
    <mergeCell ref="B818:C818"/>
    <mergeCell ref="B820:C820"/>
    <mergeCell ref="D822:F822"/>
    <mergeCell ref="B819:C819"/>
    <mergeCell ref="D820:F820"/>
    <mergeCell ref="B821:B822"/>
    <mergeCell ref="D821:F821"/>
    <mergeCell ref="B823:C823"/>
    <mergeCell ref="B824:C824"/>
    <mergeCell ref="B826:C826"/>
    <mergeCell ref="D828:F828"/>
    <mergeCell ref="B829:B830"/>
    <mergeCell ref="B831:C831"/>
    <mergeCell ref="B842:C842"/>
    <mergeCell ref="B843:C843"/>
    <mergeCell ref="D844:F844"/>
    <mergeCell ref="D845:F845"/>
    <mergeCell ref="B837:B838"/>
    <mergeCell ref="D837:F837"/>
    <mergeCell ref="D838:F838"/>
    <mergeCell ref="B839:C839"/>
    <mergeCell ref="D839:F839"/>
    <mergeCell ref="B832:C832"/>
    <mergeCell ref="D832:F832"/>
    <mergeCell ref="B834:C834"/>
    <mergeCell ref="B835:C835"/>
    <mergeCell ref="B836:C836"/>
    <mergeCell ref="D836:F836"/>
    <mergeCell ref="B840:C840"/>
    <mergeCell ref="D840:F840"/>
    <mergeCell ref="B844:C844"/>
    <mergeCell ref="B845:B846"/>
    <mergeCell ref="B855:C855"/>
    <mergeCell ref="B856:C856"/>
    <mergeCell ref="D852:F852"/>
    <mergeCell ref="D853:F853"/>
    <mergeCell ref="D846:F846"/>
    <mergeCell ref="B848:C848"/>
    <mergeCell ref="B850:C850"/>
    <mergeCell ref="B847:C847"/>
    <mergeCell ref="D847:F847"/>
    <mergeCell ref="D848:F848"/>
    <mergeCell ref="B851:C851"/>
    <mergeCell ref="B852:C852"/>
    <mergeCell ref="B853:B854"/>
    <mergeCell ref="D854:F854"/>
    <mergeCell ref="D855:F855"/>
    <mergeCell ref="D856:F856"/>
    <mergeCell ref="B858:C858"/>
    <mergeCell ref="B859:C859"/>
    <mergeCell ref="B871:C871"/>
    <mergeCell ref="D871:F871"/>
    <mergeCell ref="D872:F872"/>
    <mergeCell ref="B867:C867"/>
    <mergeCell ref="B860:C860"/>
    <mergeCell ref="D860:F860"/>
    <mergeCell ref="B863:C863"/>
    <mergeCell ref="B864:C864"/>
    <mergeCell ref="D864:F864"/>
    <mergeCell ref="B861:B862"/>
    <mergeCell ref="D861:F861"/>
    <mergeCell ref="D862:F862"/>
    <mergeCell ref="D863:F863"/>
    <mergeCell ref="B866:C866"/>
    <mergeCell ref="B868:C868"/>
    <mergeCell ref="D868:F868"/>
    <mergeCell ref="B869:B870"/>
    <mergeCell ref="D869:F869"/>
    <mergeCell ref="D870:F870"/>
    <mergeCell ref="B872:C872"/>
    <mergeCell ref="B883:C883"/>
    <mergeCell ref="B884:C884"/>
    <mergeCell ref="D885:F885"/>
    <mergeCell ref="D886:F886"/>
    <mergeCell ref="D887:F887"/>
    <mergeCell ref="D879:F879"/>
    <mergeCell ref="D880:F880"/>
    <mergeCell ref="B874:C874"/>
    <mergeCell ref="B876:C876"/>
    <mergeCell ref="D878:F878"/>
    <mergeCell ref="B875:C875"/>
    <mergeCell ref="D876:F876"/>
    <mergeCell ref="B877:B878"/>
    <mergeCell ref="D877:F877"/>
    <mergeCell ref="B879:C879"/>
    <mergeCell ref="B880:C880"/>
    <mergeCell ref="B882:C882"/>
    <mergeCell ref="D884:F884"/>
    <mergeCell ref="B885:B886"/>
    <mergeCell ref="B887:C887"/>
    <mergeCell ref="B898:C898"/>
    <mergeCell ref="B899:C899"/>
    <mergeCell ref="D900:F900"/>
    <mergeCell ref="D901:F901"/>
    <mergeCell ref="B893:B894"/>
    <mergeCell ref="D893:F893"/>
    <mergeCell ref="D894:F894"/>
    <mergeCell ref="B895:C895"/>
    <mergeCell ref="D895:F895"/>
    <mergeCell ref="B888:C888"/>
    <mergeCell ref="D888:F888"/>
    <mergeCell ref="B890:C890"/>
    <mergeCell ref="B891:C891"/>
    <mergeCell ref="B892:C892"/>
    <mergeCell ref="D892:F892"/>
    <mergeCell ref="B896:C896"/>
    <mergeCell ref="D896:F896"/>
    <mergeCell ref="B900:C900"/>
    <mergeCell ref="B901:B902"/>
    <mergeCell ref="B911:C911"/>
    <mergeCell ref="B912:C912"/>
    <mergeCell ref="D908:F908"/>
    <mergeCell ref="D909:F909"/>
    <mergeCell ref="D902:F902"/>
    <mergeCell ref="B904:C904"/>
    <mergeCell ref="B906:C906"/>
    <mergeCell ref="B903:C903"/>
    <mergeCell ref="D903:F903"/>
    <mergeCell ref="D904:F904"/>
    <mergeCell ref="B907:C907"/>
    <mergeCell ref="B908:C908"/>
    <mergeCell ref="B909:B910"/>
    <mergeCell ref="D910:F910"/>
    <mergeCell ref="D911:F911"/>
    <mergeCell ref="D912:F912"/>
    <mergeCell ref="B914:C914"/>
    <mergeCell ref="B915:C915"/>
    <mergeCell ref="B927:C927"/>
    <mergeCell ref="D927:F927"/>
    <mergeCell ref="D928:F928"/>
    <mergeCell ref="B923:C923"/>
    <mergeCell ref="B916:C916"/>
    <mergeCell ref="D916:F916"/>
    <mergeCell ref="B919:C919"/>
    <mergeCell ref="B920:C920"/>
    <mergeCell ref="D920:F920"/>
    <mergeCell ref="B917:B918"/>
    <mergeCell ref="D917:F917"/>
    <mergeCell ref="D918:F918"/>
    <mergeCell ref="D919:F919"/>
    <mergeCell ref="B922:C922"/>
    <mergeCell ref="B924:C924"/>
    <mergeCell ref="D924:F924"/>
    <mergeCell ref="B925:B926"/>
    <mergeCell ref="D925:F925"/>
    <mergeCell ref="D926:F926"/>
    <mergeCell ref="B928:C928"/>
    <mergeCell ref="B939:C939"/>
    <mergeCell ref="B940:C940"/>
    <mergeCell ref="D941:F941"/>
    <mergeCell ref="D942:F942"/>
    <mergeCell ref="D943:F943"/>
    <mergeCell ref="D935:F935"/>
    <mergeCell ref="D936:F936"/>
    <mergeCell ref="B930:C930"/>
    <mergeCell ref="B932:C932"/>
    <mergeCell ref="D934:F934"/>
    <mergeCell ref="B931:C931"/>
    <mergeCell ref="D932:F932"/>
    <mergeCell ref="B933:B934"/>
    <mergeCell ref="D933:F933"/>
    <mergeCell ref="B935:C935"/>
    <mergeCell ref="B936:C936"/>
    <mergeCell ref="B938:C938"/>
    <mergeCell ref="D940:F940"/>
    <mergeCell ref="B941:B942"/>
    <mergeCell ref="B943:C943"/>
    <mergeCell ref="B954:C954"/>
    <mergeCell ref="B955:C955"/>
    <mergeCell ref="D956:F956"/>
    <mergeCell ref="D957:F957"/>
    <mergeCell ref="B949:B950"/>
    <mergeCell ref="D949:F949"/>
    <mergeCell ref="D950:F950"/>
    <mergeCell ref="B951:C951"/>
    <mergeCell ref="D951:F951"/>
    <mergeCell ref="B944:C944"/>
    <mergeCell ref="D944:F944"/>
    <mergeCell ref="B946:C946"/>
    <mergeCell ref="B947:C947"/>
    <mergeCell ref="B948:C948"/>
    <mergeCell ref="D948:F948"/>
    <mergeCell ref="B952:C952"/>
    <mergeCell ref="D952:F952"/>
    <mergeCell ref="B956:C956"/>
    <mergeCell ref="B957:B958"/>
    <mergeCell ref="D965:F965"/>
    <mergeCell ref="D958:F958"/>
    <mergeCell ref="B960:C960"/>
    <mergeCell ref="B962:C962"/>
    <mergeCell ref="B959:C959"/>
    <mergeCell ref="D959:F959"/>
    <mergeCell ref="D960:F960"/>
    <mergeCell ref="B963:C963"/>
    <mergeCell ref="B964:C964"/>
    <mergeCell ref="B965:B966"/>
    <mergeCell ref="D966:F966"/>
    <mergeCell ref="D967:F967"/>
    <mergeCell ref="D968:F968"/>
    <mergeCell ref="B970:C970"/>
    <mergeCell ref="D973:F973"/>
    <mergeCell ref="D974:F974"/>
    <mergeCell ref="D975:F975"/>
    <mergeCell ref="B1007:C1007"/>
    <mergeCell ref="D1007:F1007"/>
    <mergeCell ref="B690:C690"/>
    <mergeCell ref="B692:C692"/>
    <mergeCell ref="D694:F694"/>
    <mergeCell ref="D696:F696"/>
    <mergeCell ref="B698:C698"/>
    <mergeCell ref="B700:C700"/>
    <mergeCell ref="D702:F702"/>
    <mergeCell ref="D704:F704"/>
    <mergeCell ref="B983:C983"/>
    <mergeCell ref="D983:F983"/>
    <mergeCell ref="B1002:C1002"/>
    <mergeCell ref="B971:C971"/>
    <mergeCell ref="B973:B974"/>
    <mergeCell ref="B1000:C1000"/>
    <mergeCell ref="D1000:F1000"/>
    <mergeCell ref="B995:C995"/>
    <mergeCell ref="B996:C996"/>
    <mergeCell ref="D997:F997"/>
    <mergeCell ref="D998:F998"/>
    <mergeCell ref="D999:F999"/>
    <mergeCell ref="D991:F991"/>
    <mergeCell ref="D992:F992"/>
    <mergeCell ref="B986:C986"/>
    <mergeCell ref="B988:C988"/>
    <mergeCell ref="B972:C972"/>
    <mergeCell ref="D972:F972"/>
    <mergeCell ref="B975:C975"/>
    <mergeCell ref="B967:C967"/>
    <mergeCell ref="B968:C968"/>
    <mergeCell ref="D964:F964"/>
    <mergeCell ref="D646:F646"/>
    <mergeCell ref="D647:F647"/>
    <mergeCell ref="D580:F580"/>
    <mergeCell ref="D581:F581"/>
    <mergeCell ref="B583:C583"/>
    <mergeCell ref="B584:C584"/>
    <mergeCell ref="B588:C588"/>
    <mergeCell ref="D588:F588"/>
    <mergeCell ref="B506:C506"/>
    <mergeCell ref="B507:C507"/>
    <mergeCell ref="B508:C508"/>
    <mergeCell ref="D508:F508"/>
    <mergeCell ref="B509:B510"/>
    <mergeCell ref="D509:F509"/>
    <mergeCell ref="D510:F510"/>
    <mergeCell ref="B511:C511"/>
    <mergeCell ref="D511:F511"/>
    <mergeCell ref="B562:C562"/>
    <mergeCell ref="B563:C563"/>
    <mergeCell ref="B564:C564"/>
    <mergeCell ref="D564:F564"/>
    <mergeCell ref="B565:B566"/>
    <mergeCell ref="D565:F565"/>
    <mergeCell ref="D566:F566"/>
    <mergeCell ref="B591:C591"/>
    <mergeCell ref="B570:C570"/>
    <mergeCell ref="B571:C571"/>
    <mergeCell ref="D572:F572"/>
    <mergeCell ref="D573:F573"/>
    <mergeCell ref="D574:F574"/>
    <mergeCell ref="B576:C576"/>
    <mergeCell ref="B578:C578"/>
  </mergeCells>
  <phoneticPr fontId="4" type="noConversion"/>
  <pageMargins left="0.25" right="0.25" top="0.75" bottom="0.75" header="0.3" footer="0.3"/>
  <pageSetup paperSize="9" scale="79" fitToHeight="0" orientation="portrait" r:id="rId1"/>
  <rowBreaks count="44" manualBreakCount="44">
    <brk id="17" max="16383" man="1"/>
    <brk id="33" max="16383" man="1"/>
    <brk id="57" max="16383" man="1"/>
    <brk id="81" max="16383" man="1"/>
    <brk id="105" max="16383" man="1"/>
    <brk id="121" max="16383" man="1"/>
    <brk id="145" max="16383" man="1"/>
    <brk id="177" max="16383" man="1"/>
    <brk id="201" max="16383" man="1"/>
    <brk id="232" max="16383" man="1"/>
    <brk id="256" max="16383" man="1"/>
    <brk id="280" max="5" man="1"/>
    <brk id="313" max="5" man="1"/>
    <brk id="353" max="5" man="1"/>
    <brk id="385" max="5" man="1"/>
    <brk id="401" max="16383" man="1"/>
    <brk id="433" max="16383" man="1"/>
    <brk id="449" max="16383" man="1"/>
    <brk id="465" max="16383" man="1"/>
    <brk id="481" max="16383" man="1"/>
    <brk id="505" max="16383" man="1"/>
    <brk id="521" max="16383" man="1"/>
    <brk id="537" max="16383" man="1"/>
    <brk id="561" max="5" man="1"/>
    <brk id="593" max="16383" man="1"/>
    <brk id="609" max="16383" man="1"/>
    <brk id="625" max="5" man="1"/>
    <brk id="641" max="5" man="1"/>
    <brk id="657" max="16383" man="1"/>
    <brk id="673" max="5" man="1"/>
    <brk id="689" max="16383" man="1"/>
    <brk id="721" max="16383" man="1"/>
    <brk id="745" max="16383" man="1"/>
    <brk id="777" max="5" man="1"/>
    <brk id="817" max="5" man="1"/>
    <brk id="848" max="16383" man="1"/>
    <brk id="889" max="16383" man="1"/>
    <brk id="921" max="5" man="1"/>
    <brk id="953" max="16383" man="1"/>
    <brk id="993" max="16383" man="1"/>
    <brk id="1025" max="16383" man="1"/>
    <brk id="1057" max="16383" man="1"/>
    <brk id="1081" max="16383" man="1"/>
    <brk id="111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45"/>
  <sheetViews>
    <sheetView tabSelected="1" zoomScale="85" zoomScaleNormal="85" workbookViewId="0">
      <pane ySplit="3" topLeftCell="A4" activePane="bottomLeft" state="frozen"/>
      <selection pane="bottomLeft" activeCell="I5" sqref="I5"/>
    </sheetView>
  </sheetViews>
  <sheetFormatPr defaultColWidth="8.625" defaultRowHeight="15" x14ac:dyDescent="0.3"/>
  <cols>
    <col min="1" max="1" width="8.25" style="2" customWidth="1"/>
    <col min="2" max="2" width="11.25" style="2" customWidth="1"/>
    <col min="3" max="4" width="8.25" style="2" customWidth="1"/>
    <col min="5" max="5" width="8.25" style="113" customWidth="1"/>
    <col min="6" max="6" width="22" style="113" customWidth="1"/>
    <col min="7" max="7" width="8.375" style="113" customWidth="1"/>
    <col min="8" max="8" width="20.75" style="113" customWidth="1"/>
    <col min="9" max="9" width="122" style="2" customWidth="1"/>
    <col min="10" max="10" width="25.375" style="114" customWidth="1"/>
    <col min="11" max="11" width="19" style="115" customWidth="1"/>
    <col min="12" max="12" width="19.75" style="115" customWidth="1"/>
    <col min="13" max="14" width="32.875" style="2" customWidth="1"/>
    <col min="15" max="16384" width="8.625" style="2"/>
  </cols>
  <sheetData>
    <row r="1" spans="1:14" ht="26.25" x14ac:dyDescent="0.3">
      <c r="A1" s="112" t="s">
        <v>89</v>
      </c>
    </row>
    <row r="2" spans="1:14" s="116" customFormat="1" ht="45" x14ac:dyDescent="0.3">
      <c r="A2" s="135" t="s">
        <v>88</v>
      </c>
      <c r="B2" s="135"/>
      <c r="C2" s="135"/>
      <c r="D2" s="135"/>
      <c r="E2" s="136" t="s">
        <v>127</v>
      </c>
      <c r="F2" s="136" t="s">
        <v>129</v>
      </c>
      <c r="G2" s="137" t="s">
        <v>131</v>
      </c>
      <c r="H2" s="138" t="s">
        <v>48</v>
      </c>
      <c r="I2" s="139" t="s">
        <v>90</v>
      </c>
      <c r="J2" s="138" t="s">
        <v>98</v>
      </c>
      <c r="K2" s="135" t="s">
        <v>85</v>
      </c>
      <c r="L2" s="135"/>
      <c r="M2" s="138" t="s">
        <v>776</v>
      </c>
      <c r="N2" s="138" t="s">
        <v>278</v>
      </c>
    </row>
    <row r="3" spans="1:14" s="116" customFormat="1" ht="30" customHeight="1" x14ac:dyDescent="0.3">
      <c r="A3" s="140" t="s">
        <v>4</v>
      </c>
      <c r="B3" s="140" t="s">
        <v>91</v>
      </c>
      <c r="C3" s="140" t="s">
        <v>92</v>
      </c>
      <c r="D3" s="140" t="s">
        <v>93</v>
      </c>
      <c r="E3" s="136" t="s">
        <v>130</v>
      </c>
      <c r="F3" s="136" t="s">
        <v>128</v>
      </c>
      <c r="G3" s="141"/>
      <c r="H3" s="138"/>
      <c r="I3" s="139"/>
      <c r="J3" s="138"/>
      <c r="K3" s="140" t="s">
        <v>86</v>
      </c>
      <c r="L3" s="140" t="s">
        <v>87</v>
      </c>
      <c r="M3" s="138"/>
      <c r="N3" s="138"/>
    </row>
    <row r="4" spans="1:14" ht="195" x14ac:dyDescent="0.3">
      <c r="A4" s="117" t="s">
        <v>222</v>
      </c>
      <c r="B4" s="117" t="str">
        <f>A4&amp;"-"&amp;TEXT(COUNTIF($A$4:$A4, A4), "000")</f>
        <v>ECR-001</v>
      </c>
      <c r="C4" s="117"/>
      <c r="D4" s="117" t="str">
        <f t="shared" ref="D4:D35" si="0">IFERROR(VLOOKUP(C4,B:F,5,0),"")</f>
        <v/>
      </c>
      <c r="E4" s="110" t="s">
        <v>226</v>
      </c>
      <c r="F4" s="110" t="s">
        <v>777</v>
      </c>
      <c r="G4" s="110" t="s">
        <v>132</v>
      </c>
      <c r="H4" s="110" t="s">
        <v>39</v>
      </c>
      <c r="I4" s="110" t="s">
        <v>1137</v>
      </c>
      <c r="J4" s="119" t="s">
        <v>895</v>
      </c>
      <c r="K4" s="118"/>
      <c r="L4" s="118"/>
      <c r="M4" s="117" t="s">
        <v>173</v>
      </c>
      <c r="N4" s="117"/>
    </row>
    <row r="5" spans="1:14" ht="315" x14ac:dyDescent="0.3">
      <c r="A5" s="117" t="s">
        <v>9</v>
      </c>
      <c r="B5" s="117" t="str">
        <f>A5&amp;"-"&amp;TEXT(COUNTIF($A$4:$A5, A5), "000")</f>
        <v>SFR-001</v>
      </c>
      <c r="C5" s="117"/>
      <c r="D5" s="117" t="str">
        <f t="shared" si="0"/>
        <v/>
      </c>
      <c r="E5" s="110" t="s">
        <v>5</v>
      </c>
      <c r="F5" s="110" t="s">
        <v>778</v>
      </c>
      <c r="G5" s="110" t="s">
        <v>132</v>
      </c>
      <c r="H5" s="110" t="s">
        <v>38</v>
      </c>
      <c r="I5" s="110" t="s">
        <v>1138</v>
      </c>
      <c r="J5" s="119" t="s">
        <v>894</v>
      </c>
      <c r="K5" s="118"/>
      <c r="L5" s="118"/>
      <c r="M5" s="117" t="s">
        <v>174</v>
      </c>
      <c r="N5" s="119"/>
    </row>
    <row r="6" spans="1:14" ht="285" x14ac:dyDescent="0.3">
      <c r="A6" s="117" t="s">
        <v>9</v>
      </c>
      <c r="B6" s="117" t="str">
        <f>A6&amp;"-"&amp;TEXT(COUNTIF($A$4:$A6, A6), "000")</f>
        <v>SFR-002</v>
      </c>
      <c r="C6" s="117"/>
      <c r="D6" s="117" t="str">
        <f t="shared" si="0"/>
        <v/>
      </c>
      <c r="E6" s="110" t="s">
        <v>5</v>
      </c>
      <c r="F6" s="110" t="s">
        <v>779</v>
      </c>
      <c r="G6" s="110" t="s">
        <v>132</v>
      </c>
      <c r="H6" s="110" t="s">
        <v>36</v>
      </c>
      <c r="I6" s="110" t="s">
        <v>1139</v>
      </c>
      <c r="J6" s="119"/>
      <c r="K6" s="118"/>
      <c r="L6" s="118"/>
      <c r="M6" s="117" t="s">
        <v>174</v>
      </c>
      <c r="N6" s="119"/>
    </row>
    <row r="7" spans="1:14" ht="270" x14ac:dyDescent="0.3">
      <c r="A7" s="117" t="s">
        <v>9</v>
      </c>
      <c r="B7" s="117" t="str">
        <f>A7&amp;"-"&amp;TEXT(COUNTIF($A$4:$A7, A7), "000")</f>
        <v>SFR-003</v>
      </c>
      <c r="C7" s="117"/>
      <c r="D7" s="117" t="str">
        <f t="shared" si="0"/>
        <v/>
      </c>
      <c r="E7" s="110" t="s">
        <v>5</v>
      </c>
      <c r="F7" s="110" t="s">
        <v>780</v>
      </c>
      <c r="G7" s="110" t="s">
        <v>132</v>
      </c>
      <c r="H7" s="110" t="s">
        <v>6</v>
      </c>
      <c r="I7" s="110" t="s">
        <v>1140</v>
      </c>
      <c r="J7" s="119"/>
      <c r="K7" s="118"/>
      <c r="L7" s="118"/>
      <c r="M7" s="117" t="s">
        <v>174</v>
      </c>
      <c r="N7" s="119"/>
    </row>
    <row r="8" spans="1:14" ht="270" x14ac:dyDescent="0.3">
      <c r="A8" s="117" t="s">
        <v>118</v>
      </c>
      <c r="B8" s="117" t="str">
        <f>A8&amp;"-"&amp;TEXT(COUNTIF($A$4:$A8, A8), "000")</f>
        <v>SFR-004</v>
      </c>
      <c r="C8" s="117"/>
      <c r="D8" s="117" t="str">
        <f t="shared" si="0"/>
        <v/>
      </c>
      <c r="E8" s="110" t="s">
        <v>120</v>
      </c>
      <c r="F8" s="110" t="s">
        <v>218</v>
      </c>
      <c r="G8" s="110" t="s">
        <v>132</v>
      </c>
      <c r="H8" s="110" t="s">
        <v>119</v>
      </c>
      <c r="I8" s="110" t="s">
        <v>1141</v>
      </c>
      <c r="J8" s="119" t="s">
        <v>1132</v>
      </c>
      <c r="K8" s="118"/>
      <c r="L8" s="118"/>
      <c r="M8" s="117" t="s">
        <v>175</v>
      </c>
      <c r="N8" s="118" t="s">
        <v>722</v>
      </c>
    </row>
    <row r="9" spans="1:14" ht="120" x14ac:dyDescent="0.3">
      <c r="A9" s="117" t="s">
        <v>9</v>
      </c>
      <c r="B9" s="117" t="str">
        <f>A9&amp;"-"&amp;TEXT(COUNTIF($A$4:$A9, A9), "000")</f>
        <v>SFR-005</v>
      </c>
      <c r="C9" s="117" t="str">
        <f>B142</f>
        <v>CNR-002</v>
      </c>
      <c r="D9" s="117" t="str">
        <f t="shared" si="0"/>
        <v>설비 표준화 및 DB화</v>
      </c>
      <c r="E9" s="110" t="s">
        <v>7</v>
      </c>
      <c r="F9" s="110" t="s">
        <v>49</v>
      </c>
      <c r="G9" s="110" t="s">
        <v>132</v>
      </c>
      <c r="H9" s="110" t="s">
        <v>107</v>
      </c>
      <c r="I9" s="110" t="s">
        <v>861</v>
      </c>
      <c r="J9" s="119"/>
      <c r="K9" s="118" t="s">
        <v>122</v>
      </c>
      <c r="L9" s="118" t="s">
        <v>121</v>
      </c>
      <c r="M9" s="117" t="s">
        <v>177</v>
      </c>
      <c r="N9" s="117"/>
    </row>
    <row r="10" spans="1:14" ht="255" x14ac:dyDescent="0.3">
      <c r="A10" s="117" t="s">
        <v>9</v>
      </c>
      <c r="B10" s="117" t="str">
        <f>A10&amp;"-"&amp;TEXT(COUNTIF($A$4:$A10, A10), "000")</f>
        <v>SFR-006</v>
      </c>
      <c r="C10" s="117" t="str">
        <f>B142</f>
        <v>CNR-002</v>
      </c>
      <c r="D10" s="117" t="str">
        <f t="shared" si="0"/>
        <v>설비 표준화 및 DB화</v>
      </c>
      <c r="E10" s="110" t="s">
        <v>7</v>
      </c>
      <c r="F10" s="110" t="s">
        <v>15</v>
      </c>
      <c r="G10" s="110" t="s">
        <v>132</v>
      </c>
      <c r="H10" s="110" t="s">
        <v>105</v>
      </c>
      <c r="I10" s="110" t="s">
        <v>1040</v>
      </c>
      <c r="J10" s="119"/>
      <c r="K10" s="118" t="s">
        <v>122</v>
      </c>
      <c r="L10" s="118" t="s">
        <v>122</v>
      </c>
      <c r="M10" s="117" t="s">
        <v>177</v>
      </c>
      <c r="N10" s="119"/>
    </row>
    <row r="11" spans="1:14" s="115" customFormat="1" ht="60" x14ac:dyDescent="0.3">
      <c r="A11" s="117" t="s">
        <v>9</v>
      </c>
      <c r="B11" s="117" t="str">
        <f>A11&amp;"-"&amp;TEXT(COUNTIF($A$4:$A11, A11), "000")</f>
        <v>SFR-007</v>
      </c>
      <c r="C11" s="117" t="str">
        <f>B142</f>
        <v>CNR-002</v>
      </c>
      <c r="D11" s="117" t="str">
        <f t="shared" si="0"/>
        <v>설비 표준화 및 DB화</v>
      </c>
      <c r="E11" s="110" t="s">
        <v>7</v>
      </c>
      <c r="F11" s="110" t="s">
        <v>16</v>
      </c>
      <c r="G11" s="110" t="s">
        <v>132</v>
      </c>
      <c r="H11" s="110" t="s">
        <v>106</v>
      </c>
      <c r="I11" s="110" t="s">
        <v>866</v>
      </c>
      <c r="J11" s="119"/>
      <c r="K11" s="118" t="s">
        <v>137</v>
      </c>
      <c r="L11" s="118" t="s">
        <v>138</v>
      </c>
      <c r="M11" s="120" t="s">
        <v>177</v>
      </c>
      <c r="N11" s="120"/>
    </row>
    <row r="12" spans="1:14" ht="255" x14ac:dyDescent="0.3">
      <c r="A12" s="117" t="s">
        <v>32</v>
      </c>
      <c r="B12" s="117" t="str">
        <f>A12&amp;"-"&amp;TEXT(COUNTIF($A$4:$A12, A12), "000")</f>
        <v>SFR-008</v>
      </c>
      <c r="C12" s="117"/>
      <c r="D12" s="117" t="str">
        <f t="shared" si="0"/>
        <v/>
      </c>
      <c r="E12" s="110" t="s">
        <v>31</v>
      </c>
      <c r="F12" s="110" t="s">
        <v>65</v>
      </c>
      <c r="G12" s="110" t="s">
        <v>132</v>
      </c>
      <c r="H12" s="110" t="s">
        <v>65</v>
      </c>
      <c r="I12" s="110" t="s">
        <v>1142</v>
      </c>
      <c r="J12" s="119"/>
      <c r="K12" s="118" t="s">
        <v>137</v>
      </c>
      <c r="L12" s="118" t="s">
        <v>138</v>
      </c>
      <c r="M12" s="117" t="s">
        <v>176</v>
      </c>
      <c r="N12" s="119"/>
    </row>
    <row r="13" spans="1:14" ht="150" x14ac:dyDescent="0.3">
      <c r="A13" s="117" t="s">
        <v>72</v>
      </c>
      <c r="B13" s="117" t="str">
        <f>A13&amp;"-"&amp;TEXT(COUNTIF($A$4:$A13, A13), "000")</f>
        <v>SFR-009</v>
      </c>
      <c r="C13" s="117" t="str">
        <f>B142</f>
        <v>CNR-002</v>
      </c>
      <c r="D13" s="117" t="str">
        <f t="shared" si="0"/>
        <v>설비 표준화 및 DB화</v>
      </c>
      <c r="E13" s="110" t="s">
        <v>31</v>
      </c>
      <c r="F13" s="110" t="s">
        <v>73</v>
      </c>
      <c r="G13" s="110" t="s">
        <v>132</v>
      </c>
      <c r="H13" s="110" t="s">
        <v>73</v>
      </c>
      <c r="I13" s="110" t="s">
        <v>1019</v>
      </c>
      <c r="J13" s="119"/>
      <c r="K13" s="121"/>
      <c r="L13" s="118"/>
      <c r="M13" s="117" t="s">
        <v>176</v>
      </c>
      <c r="N13" s="117"/>
    </row>
    <row r="14" spans="1:14" ht="165" x14ac:dyDescent="0.3">
      <c r="A14" s="117" t="s">
        <v>32</v>
      </c>
      <c r="B14" s="117" t="str">
        <f>A14&amp;"-"&amp;TEXT(COUNTIF($A$4:$A14, A14), "000")</f>
        <v>SFR-010</v>
      </c>
      <c r="C14" s="117"/>
      <c r="D14" s="117" t="str">
        <f t="shared" si="0"/>
        <v/>
      </c>
      <c r="E14" s="110" t="s">
        <v>31</v>
      </c>
      <c r="F14" s="110" t="s">
        <v>69</v>
      </c>
      <c r="G14" s="110" t="s">
        <v>132</v>
      </c>
      <c r="H14" s="110" t="s">
        <v>69</v>
      </c>
      <c r="I14" s="110" t="s">
        <v>781</v>
      </c>
      <c r="J14" s="119"/>
      <c r="K14" s="118" t="s">
        <v>215</v>
      </c>
      <c r="L14" s="118" t="s">
        <v>216</v>
      </c>
      <c r="M14" s="117" t="s">
        <v>176</v>
      </c>
      <c r="N14" s="117"/>
    </row>
    <row r="15" spans="1:14" ht="195" x14ac:dyDescent="0.3">
      <c r="A15" s="117" t="s">
        <v>32</v>
      </c>
      <c r="B15" s="117" t="str">
        <f>A15&amp;"-"&amp;TEXT(COUNTIF($A$4:$A15, A15), "000")</f>
        <v>SFR-011</v>
      </c>
      <c r="C15" s="117"/>
      <c r="D15" s="117" t="str">
        <f t="shared" si="0"/>
        <v/>
      </c>
      <c r="E15" s="110" t="s">
        <v>31</v>
      </c>
      <c r="F15" s="110" t="s">
        <v>68</v>
      </c>
      <c r="G15" s="110" t="s">
        <v>132</v>
      </c>
      <c r="H15" s="110" t="s">
        <v>68</v>
      </c>
      <c r="I15" s="110" t="s">
        <v>782</v>
      </c>
      <c r="J15" s="119"/>
      <c r="K15" s="118" t="s">
        <v>137</v>
      </c>
      <c r="L15" s="118" t="s">
        <v>138</v>
      </c>
      <c r="M15" s="117" t="s">
        <v>176</v>
      </c>
      <c r="N15" s="117"/>
    </row>
    <row r="16" spans="1:14" ht="195" x14ac:dyDescent="0.3">
      <c r="A16" s="117" t="s">
        <v>9</v>
      </c>
      <c r="B16" s="117" t="str">
        <f>A16&amp;"-"&amp;TEXT(COUNTIF($A$4:$A16, A16), "000")</f>
        <v>SFR-012</v>
      </c>
      <c r="C16" s="117" t="str">
        <f>B143</f>
        <v>CNR-003</v>
      </c>
      <c r="D16" s="117" t="str">
        <f t="shared" si="0"/>
        <v>자재 표준화 및 DB화</v>
      </c>
      <c r="E16" s="110" t="s">
        <v>29</v>
      </c>
      <c r="F16" s="110" t="s">
        <v>95</v>
      </c>
      <c r="G16" s="110" t="s">
        <v>132</v>
      </c>
      <c r="H16" s="110" t="s">
        <v>95</v>
      </c>
      <c r="I16" s="110" t="s">
        <v>862</v>
      </c>
      <c r="J16" s="119"/>
      <c r="K16" s="118" t="s">
        <v>122</v>
      </c>
      <c r="L16" s="118" t="s">
        <v>121</v>
      </c>
      <c r="M16" s="117" t="s">
        <v>178</v>
      </c>
      <c r="N16" s="117"/>
    </row>
    <row r="17" spans="1:14" ht="390" x14ac:dyDescent="0.3">
      <c r="A17" s="117" t="s">
        <v>9</v>
      </c>
      <c r="B17" s="117" t="str">
        <f>A17&amp;"-"&amp;TEXT(COUNTIF($A$4:$A17, A17), "000")</f>
        <v>SFR-013</v>
      </c>
      <c r="C17" s="117" t="str">
        <f>B143</f>
        <v>CNR-003</v>
      </c>
      <c r="D17" s="117" t="str">
        <f t="shared" si="0"/>
        <v>자재 표준화 및 DB화</v>
      </c>
      <c r="E17" s="110" t="s">
        <v>102</v>
      </c>
      <c r="F17" s="110" t="s">
        <v>101</v>
      </c>
      <c r="G17" s="110" t="s">
        <v>132</v>
      </c>
      <c r="H17" s="110" t="s">
        <v>29</v>
      </c>
      <c r="I17" s="110" t="s">
        <v>1143</v>
      </c>
      <c r="J17" s="119"/>
      <c r="K17" s="118" t="s">
        <v>137</v>
      </c>
      <c r="L17" s="118" t="s">
        <v>137</v>
      </c>
      <c r="M17" s="117" t="s">
        <v>178</v>
      </c>
      <c r="N17" s="119"/>
    </row>
    <row r="18" spans="1:14" ht="105" x14ac:dyDescent="0.3">
      <c r="A18" s="117" t="s">
        <v>9</v>
      </c>
      <c r="B18" s="117" t="str">
        <f>A18&amp;"-"&amp;TEXT(COUNTIF($A$4:$A18, A18), "000")</f>
        <v>SFR-014</v>
      </c>
      <c r="C18" s="117" t="str">
        <f>B143</f>
        <v>CNR-003</v>
      </c>
      <c r="D18" s="117" t="str">
        <f t="shared" si="0"/>
        <v>자재 표준화 및 DB화</v>
      </c>
      <c r="E18" s="110" t="s">
        <v>29</v>
      </c>
      <c r="F18" s="110" t="s">
        <v>1144</v>
      </c>
      <c r="G18" s="110" t="s">
        <v>132</v>
      </c>
      <c r="H18" s="110" t="s">
        <v>108</v>
      </c>
      <c r="I18" s="110" t="s">
        <v>1145</v>
      </c>
      <c r="J18" s="119"/>
      <c r="K18" s="118" t="s">
        <v>122</v>
      </c>
      <c r="L18" s="118" t="s">
        <v>122</v>
      </c>
      <c r="M18" s="117" t="s">
        <v>178</v>
      </c>
      <c r="N18" s="117"/>
    </row>
    <row r="19" spans="1:14" ht="270" x14ac:dyDescent="0.3">
      <c r="A19" s="117" t="s">
        <v>100</v>
      </c>
      <c r="B19" s="117" t="str">
        <f>A19&amp;"-"&amp;TEXT(COUNTIF($A$4:$A19, A19), "000")</f>
        <v>SFR-015</v>
      </c>
      <c r="C19" s="117"/>
      <c r="D19" s="117" t="str">
        <f t="shared" si="0"/>
        <v/>
      </c>
      <c r="E19" s="110" t="s">
        <v>99</v>
      </c>
      <c r="F19" s="110" t="s">
        <v>169</v>
      </c>
      <c r="G19" s="110" t="s">
        <v>132</v>
      </c>
      <c r="H19" s="110" t="s">
        <v>169</v>
      </c>
      <c r="I19" s="110" t="s">
        <v>783</v>
      </c>
      <c r="J19" s="119"/>
      <c r="K19" s="118" t="s">
        <v>137</v>
      </c>
      <c r="L19" s="118" t="s">
        <v>121</v>
      </c>
      <c r="M19" s="117" t="s">
        <v>178</v>
      </c>
      <c r="N19" s="117"/>
    </row>
    <row r="20" spans="1:14" ht="120" x14ac:dyDescent="0.3">
      <c r="A20" s="117" t="s">
        <v>9</v>
      </c>
      <c r="B20" s="117" t="str">
        <f>A20&amp;"-"&amp;TEXT(COUNTIF($A$4:$A20, A20), "000")</f>
        <v>SFR-016</v>
      </c>
      <c r="C20" s="117"/>
      <c r="D20" s="117" t="str">
        <f t="shared" si="0"/>
        <v/>
      </c>
      <c r="E20" s="110" t="s">
        <v>104</v>
      </c>
      <c r="F20" s="110" t="s">
        <v>168</v>
      </c>
      <c r="G20" s="110" t="s">
        <v>132</v>
      </c>
      <c r="H20" s="110" t="s">
        <v>168</v>
      </c>
      <c r="I20" s="110" t="s">
        <v>1146</v>
      </c>
      <c r="J20" s="119"/>
      <c r="K20" s="118" t="s">
        <v>137</v>
      </c>
      <c r="L20" s="118" t="s">
        <v>137</v>
      </c>
      <c r="M20" s="117" t="s">
        <v>178</v>
      </c>
      <c r="N20" s="119"/>
    </row>
    <row r="21" spans="1:14" s="115" customFormat="1" ht="120" x14ac:dyDescent="0.3">
      <c r="A21" s="117" t="s">
        <v>9</v>
      </c>
      <c r="B21" s="117" t="str">
        <f>A21&amp;"-"&amp;TEXT(COUNTIF($A$4:$A21, A21), "000")</f>
        <v>SFR-017</v>
      </c>
      <c r="C21" s="117" t="str">
        <f>B7</f>
        <v>SFR-003</v>
      </c>
      <c r="D21" s="117" t="str">
        <f t="shared" si="0"/>
        <v>공통기능 -정보 조회</v>
      </c>
      <c r="E21" s="110" t="s">
        <v>30</v>
      </c>
      <c r="F21" s="110" t="s">
        <v>167</v>
      </c>
      <c r="G21" s="110" t="s">
        <v>132</v>
      </c>
      <c r="H21" s="110" t="s">
        <v>167</v>
      </c>
      <c r="I21" s="110" t="s">
        <v>784</v>
      </c>
      <c r="J21" s="119"/>
      <c r="K21" s="118" t="s">
        <v>137</v>
      </c>
      <c r="L21" s="118" t="s">
        <v>137</v>
      </c>
      <c r="M21" s="117" t="s">
        <v>178</v>
      </c>
      <c r="N21" s="117"/>
    </row>
    <row r="22" spans="1:14" ht="242.25" x14ac:dyDescent="0.3">
      <c r="A22" s="117" t="s">
        <v>9</v>
      </c>
      <c r="B22" s="117" t="str">
        <f>A22&amp;"-"&amp;TEXT(COUNTIF($A$4:$A22, A22), "000")</f>
        <v>SFR-018</v>
      </c>
      <c r="C22" s="117" t="str">
        <f>B144</f>
        <v>CNR-004</v>
      </c>
      <c r="D22" s="117" t="str">
        <f t="shared" si="0"/>
        <v>유지보수 표준화 및 DB화</v>
      </c>
      <c r="E22" s="110" t="s">
        <v>10</v>
      </c>
      <c r="F22" s="110" t="s">
        <v>40</v>
      </c>
      <c r="G22" s="110" t="s">
        <v>132</v>
      </c>
      <c r="H22" s="110" t="s">
        <v>27</v>
      </c>
      <c r="I22" s="65" t="s">
        <v>1135</v>
      </c>
      <c r="J22" s="119"/>
      <c r="K22" s="118" t="s">
        <v>137</v>
      </c>
      <c r="L22" s="118" t="s">
        <v>138</v>
      </c>
      <c r="M22" s="117" t="s">
        <v>179</v>
      </c>
      <c r="N22" s="119"/>
    </row>
    <row r="23" spans="1:14" ht="75" x14ac:dyDescent="0.3">
      <c r="A23" s="117" t="s">
        <v>9</v>
      </c>
      <c r="B23" s="117" t="str">
        <f>A23&amp;"-"&amp;TEXT(COUNTIF($A$4:$A23, A23), "000")</f>
        <v>SFR-019</v>
      </c>
      <c r="C23" s="117"/>
      <c r="D23" s="117" t="str">
        <f t="shared" si="0"/>
        <v/>
      </c>
      <c r="E23" s="110" t="s">
        <v>10</v>
      </c>
      <c r="F23" s="110" t="s">
        <v>25</v>
      </c>
      <c r="G23" s="110" t="s">
        <v>132</v>
      </c>
      <c r="H23" s="110" t="s">
        <v>532</v>
      </c>
      <c r="I23" s="110" t="s">
        <v>785</v>
      </c>
      <c r="J23" s="119"/>
      <c r="K23" s="118"/>
      <c r="L23" s="118"/>
      <c r="M23" s="117" t="s">
        <v>179</v>
      </c>
      <c r="N23" s="117"/>
    </row>
    <row r="24" spans="1:14" ht="45" x14ac:dyDescent="0.3">
      <c r="A24" s="117" t="s">
        <v>9</v>
      </c>
      <c r="B24" s="117" t="str">
        <f>A24&amp;"-"&amp;TEXT(COUNTIF($A$4:$A24, A24), "000")</f>
        <v>SFR-020</v>
      </c>
      <c r="C24" s="117"/>
      <c r="D24" s="117" t="str">
        <f t="shared" si="0"/>
        <v/>
      </c>
      <c r="E24" s="110" t="s">
        <v>10</v>
      </c>
      <c r="F24" s="110" t="s">
        <v>20</v>
      </c>
      <c r="G24" s="110" t="s">
        <v>132</v>
      </c>
      <c r="H24" s="110" t="s">
        <v>533</v>
      </c>
      <c r="I24" s="110" t="s">
        <v>786</v>
      </c>
      <c r="J24" s="119"/>
      <c r="K24" s="118" t="s">
        <v>137</v>
      </c>
      <c r="L24" s="118" t="s">
        <v>138</v>
      </c>
      <c r="M24" s="117" t="s">
        <v>179</v>
      </c>
      <c r="N24" s="117"/>
    </row>
    <row r="25" spans="1:14" ht="75" x14ac:dyDescent="0.3">
      <c r="A25" s="117" t="s">
        <v>9</v>
      </c>
      <c r="B25" s="117" t="str">
        <f>A25&amp;"-"&amp;TEXT(COUNTIF($A$4:$A25, A25), "000")</f>
        <v>SFR-021</v>
      </c>
      <c r="C25" s="117"/>
      <c r="D25" s="117" t="str">
        <f t="shared" si="0"/>
        <v/>
      </c>
      <c r="E25" s="110" t="s">
        <v>10</v>
      </c>
      <c r="F25" s="110" t="s">
        <v>26</v>
      </c>
      <c r="G25" s="110" t="s">
        <v>132</v>
      </c>
      <c r="H25" s="110" t="s">
        <v>534</v>
      </c>
      <c r="I25" s="110" t="s">
        <v>787</v>
      </c>
      <c r="J25" s="119"/>
      <c r="K25" s="118" t="s">
        <v>137</v>
      </c>
      <c r="L25" s="118" t="s">
        <v>137</v>
      </c>
      <c r="M25" s="117" t="s">
        <v>179</v>
      </c>
      <c r="N25" s="117"/>
    </row>
    <row r="26" spans="1:14" ht="90" x14ac:dyDescent="0.3">
      <c r="A26" s="117" t="s">
        <v>9</v>
      </c>
      <c r="B26" s="117" t="str">
        <f>A26&amp;"-"&amp;TEXT(COUNTIF($A$4:$A26, A26), "000")</f>
        <v>SFR-022</v>
      </c>
      <c r="C26" s="117"/>
      <c r="D26" s="117" t="str">
        <f t="shared" si="0"/>
        <v/>
      </c>
      <c r="E26" s="110" t="s">
        <v>10</v>
      </c>
      <c r="F26" s="110" t="s">
        <v>788</v>
      </c>
      <c r="G26" s="110" t="s">
        <v>132</v>
      </c>
      <c r="H26" s="110" t="s">
        <v>535</v>
      </c>
      <c r="I26" s="110" t="s">
        <v>789</v>
      </c>
      <c r="J26" s="119"/>
      <c r="K26" s="118" t="s">
        <v>137</v>
      </c>
      <c r="L26" s="118" t="s">
        <v>137</v>
      </c>
      <c r="M26" s="117" t="s">
        <v>179</v>
      </c>
      <c r="N26" s="117"/>
    </row>
    <row r="27" spans="1:14" ht="285" x14ac:dyDescent="0.3">
      <c r="A27" s="117" t="s">
        <v>9</v>
      </c>
      <c r="B27" s="117" t="str">
        <f>A27&amp;"-"&amp;TEXT(COUNTIF($A$4:$A27, A27), "000")</f>
        <v>SFR-023</v>
      </c>
      <c r="C27" s="117"/>
      <c r="D27" s="117" t="str">
        <f t="shared" si="0"/>
        <v/>
      </c>
      <c r="E27" s="110" t="s">
        <v>10</v>
      </c>
      <c r="F27" s="110" t="s">
        <v>21</v>
      </c>
      <c r="G27" s="110" t="s">
        <v>132</v>
      </c>
      <c r="H27" s="110" t="s">
        <v>109</v>
      </c>
      <c r="I27" s="110" t="s">
        <v>1147</v>
      </c>
      <c r="J27" s="119"/>
      <c r="K27" s="118" t="s">
        <v>137</v>
      </c>
      <c r="L27" s="118" t="s">
        <v>138</v>
      </c>
      <c r="M27" s="117" t="s">
        <v>179</v>
      </c>
      <c r="N27" s="119"/>
    </row>
    <row r="28" spans="1:14" ht="240" x14ac:dyDescent="0.3">
      <c r="A28" s="117" t="s">
        <v>9</v>
      </c>
      <c r="B28" s="117" t="str">
        <f>A28&amp;"-"&amp;TEXT(COUNTIF($A$4:$A28, A28), "000")</f>
        <v>SFR-024</v>
      </c>
      <c r="C28" s="117"/>
      <c r="D28" s="117" t="str">
        <f t="shared" si="0"/>
        <v/>
      </c>
      <c r="E28" s="110" t="s">
        <v>10</v>
      </c>
      <c r="F28" s="110" t="s">
        <v>274</v>
      </c>
      <c r="G28" s="110" t="s">
        <v>132</v>
      </c>
      <c r="H28" s="110" t="s">
        <v>275</v>
      </c>
      <c r="I28" s="110" t="s">
        <v>1148</v>
      </c>
      <c r="J28" s="119"/>
      <c r="K28" s="118" t="s">
        <v>122</v>
      </c>
      <c r="L28" s="118" t="s">
        <v>121</v>
      </c>
      <c r="M28" s="117" t="s">
        <v>179</v>
      </c>
      <c r="N28" s="119"/>
    </row>
    <row r="29" spans="1:14" ht="210" x14ac:dyDescent="0.3">
      <c r="A29" s="117" t="s">
        <v>9</v>
      </c>
      <c r="B29" s="117" t="str">
        <f>A29&amp;"-"&amp;TEXT(COUNTIF($A$4:$A29, A29), "000")</f>
        <v>SFR-025</v>
      </c>
      <c r="C29" s="117"/>
      <c r="D29" s="117" t="str">
        <f t="shared" si="0"/>
        <v/>
      </c>
      <c r="E29" s="110" t="s">
        <v>10</v>
      </c>
      <c r="F29" s="110" t="s">
        <v>60</v>
      </c>
      <c r="G29" s="110" t="s">
        <v>132</v>
      </c>
      <c r="H29" s="110" t="s">
        <v>110</v>
      </c>
      <c r="I29" s="110" t="s">
        <v>1149</v>
      </c>
      <c r="J29" s="119"/>
      <c r="K29" s="118" t="s">
        <v>137</v>
      </c>
      <c r="L29" s="118" t="s">
        <v>138</v>
      </c>
      <c r="M29" s="117" t="s">
        <v>179</v>
      </c>
      <c r="N29" s="119"/>
    </row>
    <row r="30" spans="1:14" ht="60" x14ac:dyDescent="0.3">
      <c r="A30" s="117" t="s">
        <v>9</v>
      </c>
      <c r="B30" s="117" t="str">
        <f>A30&amp;"-"&amp;TEXT(COUNTIF($A$4:$A30, A30), "000")</f>
        <v>SFR-026</v>
      </c>
      <c r="C30" s="117"/>
      <c r="D30" s="117" t="str">
        <f t="shared" si="0"/>
        <v/>
      </c>
      <c r="E30" s="110" t="s">
        <v>10</v>
      </c>
      <c r="F30" s="110" t="s">
        <v>61</v>
      </c>
      <c r="G30" s="110" t="s">
        <v>132</v>
      </c>
      <c r="H30" s="110" t="s">
        <v>539</v>
      </c>
      <c r="I30" s="110" t="s">
        <v>1023</v>
      </c>
      <c r="J30" s="119"/>
      <c r="K30" s="118" t="s">
        <v>137</v>
      </c>
      <c r="L30" s="118" t="s">
        <v>137</v>
      </c>
      <c r="M30" s="117" t="s">
        <v>179</v>
      </c>
      <c r="N30" s="117"/>
    </row>
    <row r="31" spans="1:14" ht="105" x14ac:dyDescent="0.3">
      <c r="A31" s="117" t="s">
        <v>9</v>
      </c>
      <c r="B31" s="117" t="str">
        <f>A31&amp;"-"&amp;TEXT(COUNTIF($A$4:$A31, A31), "000")</f>
        <v>SFR-027</v>
      </c>
      <c r="C31" s="117"/>
      <c r="D31" s="117" t="str">
        <f t="shared" si="0"/>
        <v/>
      </c>
      <c r="E31" s="110" t="s">
        <v>10</v>
      </c>
      <c r="F31" s="110" t="s">
        <v>790</v>
      </c>
      <c r="G31" s="110" t="s">
        <v>132</v>
      </c>
      <c r="H31" s="110" t="s">
        <v>540</v>
      </c>
      <c r="I31" s="110" t="s">
        <v>1150</v>
      </c>
      <c r="J31" s="119"/>
      <c r="K31" s="118"/>
      <c r="L31" s="118"/>
      <c r="M31" s="117" t="s">
        <v>179</v>
      </c>
      <c r="N31" s="117"/>
    </row>
    <row r="32" spans="1:14" ht="105" x14ac:dyDescent="0.3">
      <c r="A32" s="117" t="s">
        <v>9</v>
      </c>
      <c r="B32" s="117" t="str">
        <f>A32&amp;"-"&amp;TEXT(COUNTIF($A$4:$A32, A32), "000")</f>
        <v>SFR-028</v>
      </c>
      <c r="C32" s="117"/>
      <c r="D32" s="117" t="str">
        <f t="shared" si="0"/>
        <v/>
      </c>
      <c r="E32" s="110" t="s">
        <v>10</v>
      </c>
      <c r="F32" s="110" t="s">
        <v>791</v>
      </c>
      <c r="G32" s="110" t="s">
        <v>132</v>
      </c>
      <c r="H32" s="110" t="s">
        <v>541</v>
      </c>
      <c r="I32" s="110" t="s">
        <v>792</v>
      </c>
      <c r="J32" s="119"/>
      <c r="K32" s="118"/>
      <c r="L32" s="118"/>
      <c r="M32" s="117" t="s">
        <v>179</v>
      </c>
      <c r="N32" s="117"/>
    </row>
    <row r="33" spans="1:14" ht="210" x14ac:dyDescent="0.3">
      <c r="A33" s="117" t="s">
        <v>9</v>
      </c>
      <c r="B33" s="117" t="str">
        <f>A33&amp;"-"&amp;TEXT(COUNTIF($A$4:$A33, A33), "000")</f>
        <v>SFR-029</v>
      </c>
      <c r="C33" s="117"/>
      <c r="D33" s="117" t="str">
        <f t="shared" si="0"/>
        <v/>
      </c>
      <c r="E33" s="110" t="s">
        <v>10</v>
      </c>
      <c r="F33" s="110" t="s">
        <v>19</v>
      </c>
      <c r="G33" s="110" t="s">
        <v>132</v>
      </c>
      <c r="H33" s="110" t="s">
        <v>19</v>
      </c>
      <c r="I33" s="110" t="s">
        <v>793</v>
      </c>
      <c r="J33" s="119"/>
      <c r="K33" s="118" t="s">
        <v>137</v>
      </c>
      <c r="L33" s="118" t="s">
        <v>137</v>
      </c>
      <c r="M33" s="117" t="s">
        <v>179</v>
      </c>
      <c r="N33" s="117"/>
    </row>
    <row r="34" spans="1:14" s="115" customFormat="1" ht="195" x14ac:dyDescent="0.3">
      <c r="A34" s="117" t="s">
        <v>9</v>
      </c>
      <c r="B34" s="117" t="str">
        <f>A34&amp;"-"&amp;TEXT(COUNTIF($A$4:$A34, A34), "000")</f>
        <v>SFR-030</v>
      </c>
      <c r="C34" s="117"/>
      <c r="D34" s="117" t="str">
        <f t="shared" si="0"/>
        <v/>
      </c>
      <c r="E34" s="110" t="s">
        <v>10</v>
      </c>
      <c r="F34" s="110" t="s">
        <v>14</v>
      </c>
      <c r="G34" s="110" t="s">
        <v>132</v>
      </c>
      <c r="H34" s="110" t="s">
        <v>64</v>
      </c>
      <c r="I34" s="110" t="s">
        <v>1151</v>
      </c>
      <c r="J34" s="119"/>
      <c r="K34" s="118"/>
      <c r="L34" s="118"/>
      <c r="M34" s="117" t="s">
        <v>179</v>
      </c>
      <c r="N34" s="118"/>
    </row>
    <row r="35" spans="1:14" s="115" customFormat="1" ht="135" x14ac:dyDescent="0.3">
      <c r="A35" s="117" t="s">
        <v>9</v>
      </c>
      <c r="B35" s="117" t="str">
        <f>A35&amp;"-"&amp;TEXT(COUNTIF($A$4:$A35, A35), "000")</f>
        <v>SFR-031</v>
      </c>
      <c r="C35" s="117"/>
      <c r="D35" s="117" t="str">
        <f t="shared" si="0"/>
        <v/>
      </c>
      <c r="E35" s="110" t="s">
        <v>10</v>
      </c>
      <c r="F35" s="110" t="s">
        <v>22</v>
      </c>
      <c r="G35" s="110" t="s">
        <v>132</v>
      </c>
      <c r="H35" s="110" t="s">
        <v>66</v>
      </c>
      <c r="I35" s="110" t="s">
        <v>1022</v>
      </c>
      <c r="J35" s="119"/>
      <c r="K35" s="118"/>
      <c r="L35" s="118"/>
      <c r="M35" s="117" t="s">
        <v>179</v>
      </c>
      <c r="N35" s="119"/>
    </row>
    <row r="36" spans="1:14" s="115" customFormat="1" ht="273.75" customHeight="1" x14ac:dyDescent="0.3">
      <c r="A36" s="117" t="s">
        <v>9</v>
      </c>
      <c r="B36" s="117" t="str">
        <f>A36&amp;"-"&amp;TEXT(COUNTIF($A$4:$A36, A36), "000")</f>
        <v>SFR-032</v>
      </c>
      <c r="C36" s="117"/>
      <c r="D36" s="117" t="str">
        <f t="shared" ref="D36:D67" si="1">IFERROR(VLOOKUP(C36,B:F,5,0),"")</f>
        <v/>
      </c>
      <c r="E36" s="110" t="s">
        <v>10</v>
      </c>
      <c r="F36" s="110" t="s">
        <v>67</v>
      </c>
      <c r="G36" s="110" t="s">
        <v>132</v>
      </c>
      <c r="H36" s="110" t="s">
        <v>1152</v>
      </c>
      <c r="I36" s="122" t="s">
        <v>1153</v>
      </c>
      <c r="J36" s="119"/>
      <c r="K36" s="118" t="s">
        <v>137</v>
      </c>
      <c r="L36" s="118" t="s">
        <v>137</v>
      </c>
      <c r="M36" s="117" t="s">
        <v>179</v>
      </c>
      <c r="N36" s="119"/>
    </row>
    <row r="37" spans="1:14" s="115" customFormat="1" ht="105" x14ac:dyDescent="0.3">
      <c r="A37" s="117" t="s">
        <v>9</v>
      </c>
      <c r="B37" s="117" t="str">
        <f>A37&amp;"-"&amp;TEXT(COUNTIF($A$4:$A37, A37), "000")</f>
        <v>SFR-033</v>
      </c>
      <c r="C37" s="117"/>
      <c r="D37" s="117" t="str">
        <f t="shared" si="1"/>
        <v/>
      </c>
      <c r="E37" s="110" t="s">
        <v>27</v>
      </c>
      <c r="F37" s="110" t="s">
        <v>28</v>
      </c>
      <c r="G37" s="110" t="s">
        <v>132</v>
      </c>
      <c r="H37" s="110" t="s">
        <v>70</v>
      </c>
      <c r="I37" s="110" t="s">
        <v>1154</v>
      </c>
      <c r="J37" s="119"/>
      <c r="K37" s="118"/>
      <c r="L37" s="118"/>
      <c r="M37" s="117" t="s">
        <v>179</v>
      </c>
      <c r="N37" s="119"/>
    </row>
    <row r="38" spans="1:14" s="115" customFormat="1" ht="270" x14ac:dyDescent="0.25">
      <c r="A38" s="117" t="s">
        <v>9</v>
      </c>
      <c r="B38" s="117" t="str">
        <f>A38&amp;"-"&amp;TEXT(COUNTIF($A$4:$A38, A38), "000")</f>
        <v>SFR-034</v>
      </c>
      <c r="C38" s="117"/>
      <c r="D38" s="117" t="str">
        <f t="shared" si="1"/>
        <v/>
      </c>
      <c r="E38" s="110" t="s">
        <v>11</v>
      </c>
      <c r="F38" s="110" t="s">
        <v>1119</v>
      </c>
      <c r="G38" s="110" t="s">
        <v>132</v>
      </c>
      <c r="H38" s="110" t="s">
        <v>1121</v>
      </c>
      <c r="I38" s="123" t="s">
        <v>1155</v>
      </c>
      <c r="J38" s="124"/>
      <c r="K38" s="118" t="s">
        <v>215</v>
      </c>
      <c r="L38" s="118" t="s">
        <v>215</v>
      </c>
      <c r="M38" s="117" t="s">
        <v>179</v>
      </c>
      <c r="N38" s="119"/>
    </row>
    <row r="39" spans="1:14" s="115" customFormat="1" ht="120" x14ac:dyDescent="0.25">
      <c r="A39" s="117" t="s">
        <v>9</v>
      </c>
      <c r="B39" s="117" t="str">
        <f>A39&amp;"-"&amp;TEXT(COUNTIF($A$4:$A39, A39), "000")</f>
        <v>SFR-035</v>
      </c>
      <c r="C39" s="117"/>
      <c r="D39" s="117" t="str">
        <f t="shared" si="1"/>
        <v/>
      </c>
      <c r="E39" s="110" t="s">
        <v>1124</v>
      </c>
      <c r="F39" s="110" t="s">
        <v>1126</v>
      </c>
      <c r="G39" s="110" t="s">
        <v>132</v>
      </c>
      <c r="H39" s="110" t="s">
        <v>1123</v>
      </c>
      <c r="I39" s="125" t="s">
        <v>1156</v>
      </c>
      <c r="J39" s="124"/>
      <c r="K39" s="118" t="s">
        <v>215</v>
      </c>
      <c r="L39" s="118" t="s">
        <v>216</v>
      </c>
      <c r="M39" s="117" t="s">
        <v>179</v>
      </c>
      <c r="N39" s="117"/>
    </row>
    <row r="40" spans="1:14" s="115" customFormat="1" ht="75" x14ac:dyDescent="0.25">
      <c r="A40" s="117" t="s">
        <v>9</v>
      </c>
      <c r="B40" s="117" t="str">
        <f>A40&amp;"-"&amp;TEXT(COUNTIF($A$4:$A40, A40), "000")</f>
        <v>SFR-036</v>
      </c>
      <c r="C40" s="117"/>
      <c r="D40" s="117" t="str">
        <f t="shared" si="1"/>
        <v/>
      </c>
      <c r="E40" s="110" t="s">
        <v>23</v>
      </c>
      <c r="F40" s="110" t="s">
        <v>24</v>
      </c>
      <c r="G40" s="110" t="s">
        <v>132</v>
      </c>
      <c r="H40" s="110" t="s">
        <v>71</v>
      </c>
      <c r="I40" s="123" t="s">
        <v>1025</v>
      </c>
      <c r="J40" s="124"/>
      <c r="K40" s="118"/>
      <c r="L40" s="118"/>
      <c r="M40" s="117" t="s">
        <v>179</v>
      </c>
      <c r="N40" s="117"/>
    </row>
    <row r="41" spans="1:14" ht="135" x14ac:dyDescent="0.3">
      <c r="A41" s="117" t="s">
        <v>9</v>
      </c>
      <c r="B41" s="117" t="str">
        <f>A41&amp;"-"&amp;TEXT(COUNTIF($A$4:$A41, A41), "000")</f>
        <v>SFR-037</v>
      </c>
      <c r="C41" s="117"/>
      <c r="D41" s="117" t="str">
        <f t="shared" si="1"/>
        <v/>
      </c>
      <c r="E41" s="110" t="s">
        <v>12</v>
      </c>
      <c r="F41" s="110" t="s">
        <v>126</v>
      </c>
      <c r="G41" s="110" t="s">
        <v>132</v>
      </c>
      <c r="H41" s="110" t="s">
        <v>55</v>
      </c>
      <c r="I41" s="110" t="s">
        <v>1024</v>
      </c>
      <c r="J41" s="119"/>
      <c r="K41" s="118" t="s">
        <v>123</v>
      </c>
      <c r="L41" s="118" t="s">
        <v>122</v>
      </c>
      <c r="M41" s="117" t="s">
        <v>179</v>
      </c>
      <c r="N41" s="117"/>
    </row>
    <row r="42" spans="1:14" ht="75" x14ac:dyDescent="0.3">
      <c r="A42" s="117" t="s">
        <v>9</v>
      </c>
      <c r="B42" s="117" t="str">
        <f>A42&amp;"-"&amp;TEXT(COUNTIF($A$4:$A42, A42), "000")</f>
        <v>SFR-038</v>
      </c>
      <c r="C42" s="117"/>
      <c r="D42" s="117" t="str">
        <f t="shared" si="1"/>
        <v/>
      </c>
      <c r="E42" s="110" t="s">
        <v>12</v>
      </c>
      <c r="F42" s="110" t="s">
        <v>56</v>
      </c>
      <c r="G42" s="110" t="s">
        <v>132</v>
      </c>
      <c r="H42" s="110" t="s">
        <v>56</v>
      </c>
      <c r="I42" s="110" t="s">
        <v>794</v>
      </c>
      <c r="J42" s="119"/>
      <c r="K42" s="118"/>
      <c r="L42" s="118"/>
      <c r="M42" s="117" t="s">
        <v>179</v>
      </c>
      <c r="N42" s="117"/>
    </row>
    <row r="43" spans="1:14" ht="90" x14ac:dyDescent="0.3">
      <c r="A43" s="117" t="s">
        <v>9</v>
      </c>
      <c r="B43" s="117" t="str">
        <f>A43&amp;"-"&amp;TEXT(COUNTIF($A$4:$A43, A43), "000")</f>
        <v>SFR-039</v>
      </c>
      <c r="C43" s="117"/>
      <c r="D43" s="117" t="str">
        <f t="shared" si="1"/>
        <v/>
      </c>
      <c r="E43" s="110" t="s">
        <v>12</v>
      </c>
      <c r="F43" s="110" t="s">
        <v>0</v>
      </c>
      <c r="G43" s="110" t="s">
        <v>132</v>
      </c>
      <c r="H43" s="110" t="s">
        <v>57</v>
      </c>
      <c r="I43" s="110" t="s">
        <v>795</v>
      </c>
      <c r="J43" s="119"/>
      <c r="K43" s="118" t="s">
        <v>123</v>
      </c>
      <c r="L43" s="118" t="s">
        <v>122</v>
      </c>
      <c r="M43" s="117" t="s">
        <v>179</v>
      </c>
      <c r="N43" s="117"/>
    </row>
    <row r="44" spans="1:14" ht="75" x14ac:dyDescent="0.3">
      <c r="A44" s="117" t="s">
        <v>9</v>
      </c>
      <c r="B44" s="117" t="str">
        <f>A44&amp;"-"&amp;TEXT(COUNTIF($A$4:$A44, A44), "000")</f>
        <v>SFR-040</v>
      </c>
      <c r="C44" s="117"/>
      <c r="D44" s="117" t="str">
        <f t="shared" si="1"/>
        <v/>
      </c>
      <c r="E44" s="110" t="s">
        <v>12</v>
      </c>
      <c r="F44" s="110" t="s">
        <v>3</v>
      </c>
      <c r="G44" s="110" t="s">
        <v>132</v>
      </c>
      <c r="H44" s="110" t="s">
        <v>62</v>
      </c>
      <c r="I44" s="110" t="s">
        <v>796</v>
      </c>
      <c r="J44" s="119"/>
      <c r="K44" s="118" t="s">
        <v>123</v>
      </c>
      <c r="L44" s="118" t="s">
        <v>122</v>
      </c>
      <c r="M44" s="117" t="s">
        <v>179</v>
      </c>
      <c r="N44" s="117"/>
    </row>
    <row r="45" spans="1:14" ht="105" x14ac:dyDescent="0.3">
      <c r="A45" s="117" t="s">
        <v>9</v>
      </c>
      <c r="B45" s="117" t="str">
        <f>A45&amp;"-"&amp;TEXT(COUNTIF($A$4:$A45, A45), "000")</f>
        <v>SFR-041</v>
      </c>
      <c r="C45" s="117"/>
      <c r="D45" s="117" t="str">
        <f t="shared" si="1"/>
        <v/>
      </c>
      <c r="E45" s="110" t="s">
        <v>12</v>
      </c>
      <c r="F45" s="110" t="s">
        <v>1</v>
      </c>
      <c r="G45" s="110" t="s">
        <v>132</v>
      </c>
      <c r="H45" s="110" t="s">
        <v>58</v>
      </c>
      <c r="I45" s="110" t="s">
        <v>797</v>
      </c>
      <c r="J45" s="119"/>
      <c r="K45" s="118"/>
      <c r="L45" s="118"/>
      <c r="M45" s="117" t="s">
        <v>179</v>
      </c>
      <c r="N45" s="119"/>
    </row>
    <row r="46" spans="1:14" ht="45" x14ac:dyDescent="0.3">
      <c r="A46" s="117" t="s">
        <v>9</v>
      </c>
      <c r="B46" s="117" t="str">
        <f>A46&amp;"-"&amp;TEXT(COUNTIF($A$4:$A46, A46), "000")</f>
        <v>SFR-042</v>
      </c>
      <c r="C46" s="117"/>
      <c r="D46" s="117" t="str">
        <f t="shared" si="1"/>
        <v/>
      </c>
      <c r="E46" s="110" t="s">
        <v>12</v>
      </c>
      <c r="F46" s="110" t="s">
        <v>2</v>
      </c>
      <c r="G46" s="110" t="s">
        <v>132</v>
      </c>
      <c r="H46" s="110" t="s">
        <v>59</v>
      </c>
      <c r="I46" s="126" t="s">
        <v>798</v>
      </c>
      <c r="J46" s="127"/>
      <c r="K46" s="118"/>
      <c r="L46" s="118"/>
      <c r="M46" s="117" t="s">
        <v>179</v>
      </c>
      <c r="N46" s="117"/>
    </row>
    <row r="47" spans="1:14" s="115" customFormat="1" ht="60" x14ac:dyDescent="0.3">
      <c r="A47" s="117" t="s">
        <v>9</v>
      </c>
      <c r="B47" s="117" t="str">
        <f>A47&amp;"-"&amp;TEXT(COUNTIF($A$4:$A47, A47), "000")</f>
        <v>SFR-043</v>
      </c>
      <c r="C47" s="117"/>
      <c r="D47" s="117" t="str">
        <f t="shared" si="1"/>
        <v/>
      </c>
      <c r="E47" s="110" t="s">
        <v>50</v>
      </c>
      <c r="F47" s="110" t="s">
        <v>94</v>
      </c>
      <c r="G47" s="110" t="s">
        <v>132</v>
      </c>
      <c r="H47" s="110" t="s">
        <v>51</v>
      </c>
      <c r="I47" s="110" t="s">
        <v>280</v>
      </c>
      <c r="J47" s="119"/>
      <c r="K47" s="118"/>
      <c r="L47" s="118"/>
      <c r="M47" s="117" t="s">
        <v>179</v>
      </c>
      <c r="N47" s="110"/>
    </row>
    <row r="48" spans="1:14" s="115" customFormat="1" ht="135" x14ac:dyDescent="0.3">
      <c r="A48" s="117" t="s">
        <v>9</v>
      </c>
      <c r="B48" s="117" t="str">
        <f>A48&amp;"-"&amp;TEXT(COUNTIF($A$4:$A48, A48), "000")</f>
        <v>SFR-044</v>
      </c>
      <c r="C48" s="117"/>
      <c r="D48" s="117" t="str">
        <f t="shared" si="1"/>
        <v/>
      </c>
      <c r="E48" s="110" t="s">
        <v>13</v>
      </c>
      <c r="F48" s="110" t="s">
        <v>63</v>
      </c>
      <c r="G48" s="110" t="s">
        <v>132</v>
      </c>
      <c r="H48" s="110" t="s">
        <v>103</v>
      </c>
      <c r="I48" s="110" t="s">
        <v>799</v>
      </c>
      <c r="J48" s="119"/>
      <c r="K48" s="118"/>
      <c r="L48" s="118"/>
      <c r="M48" s="117" t="s">
        <v>180</v>
      </c>
      <c r="N48" s="117"/>
    </row>
    <row r="49" spans="1:14" ht="120" x14ac:dyDescent="0.3">
      <c r="A49" s="117" t="s">
        <v>9</v>
      </c>
      <c r="B49" s="117" t="str">
        <f>A49&amp;"-"&amp;TEXT(COUNTIF($A$4:$A49, A49), "000")</f>
        <v>SFR-045</v>
      </c>
      <c r="C49" s="117"/>
      <c r="D49" s="117" t="str">
        <f t="shared" si="1"/>
        <v/>
      </c>
      <c r="E49" s="110" t="s">
        <v>33</v>
      </c>
      <c r="F49" s="110" t="s">
        <v>800</v>
      </c>
      <c r="G49" s="110" t="s">
        <v>132</v>
      </c>
      <c r="H49" s="110" t="s">
        <v>281</v>
      </c>
      <c r="I49" s="110" t="s">
        <v>756</v>
      </c>
      <c r="J49" s="110"/>
      <c r="K49" s="118"/>
      <c r="L49" s="118"/>
      <c r="M49" s="117" t="s">
        <v>865</v>
      </c>
      <c r="N49" s="110"/>
    </row>
    <row r="50" spans="1:14" ht="45" x14ac:dyDescent="0.3">
      <c r="A50" s="117" t="s">
        <v>9</v>
      </c>
      <c r="B50" s="117" t="str">
        <f>A50&amp;"-"&amp;TEXT(COUNTIF($A$4:$A50, A50), "000")</f>
        <v>SFR-046</v>
      </c>
      <c r="C50" s="117"/>
      <c r="D50" s="117" t="str">
        <f t="shared" si="1"/>
        <v/>
      </c>
      <c r="E50" s="110" t="s">
        <v>33</v>
      </c>
      <c r="F50" s="110" t="s">
        <v>801</v>
      </c>
      <c r="G50" s="110" t="s">
        <v>132</v>
      </c>
      <c r="H50" s="110" t="s">
        <v>282</v>
      </c>
      <c r="I50" s="110" t="s">
        <v>757</v>
      </c>
      <c r="J50" s="110"/>
      <c r="K50" s="118"/>
      <c r="L50" s="118"/>
      <c r="M50" s="117" t="s">
        <v>294</v>
      </c>
      <c r="N50" s="110"/>
    </row>
    <row r="51" spans="1:14" ht="90" x14ac:dyDescent="0.3">
      <c r="A51" s="117" t="s">
        <v>9</v>
      </c>
      <c r="B51" s="117" t="str">
        <f>A51&amp;"-"&amp;TEXT(COUNTIF($A$4:$A51, A51), "000")</f>
        <v>SFR-047</v>
      </c>
      <c r="C51" s="117"/>
      <c r="D51" s="117" t="str">
        <f t="shared" si="1"/>
        <v/>
      </c>
      <c r="E51" s="110" t="s">
        <v>33</v>
      </c>
      <c r="F51" s="110" t="s">
        <v>802</v>
      </c>
      <c r="G51" s="110" t="s">
        <v>132</v>
      </c>
      <c r="H51" s="110" t="s">
        <v>283</v>
      </c>
      <c r="I51" s="110" t="s">
        <v>1157</v>
      </c>
      <c r="J51" s="110"/>
      <c r="K51" s="118"/>
      <c r="L51" s="118"/>
      <c r="M51" s="117" t="s">
        <v>295</v>
      </c>
      <c r="N51" s="110"/>
    </row>
    <row r="52" spans="1:14" ht="240" x14ac:dyDescent="0.3">
      <c r="A52" s="117" t="s">
        <v>9</v>
      </c>
      <c r="B52" s="117" t="str">
        <f>A52&amp;"-"&amp;TEXT(COUNTIF($A$4:$A52, A52), "000")</f>
        <v>SFR-048</v>
      </c>
      <c r="C52" s="117"/>
      <c r="D52" s="117" t="str">
        <f t="shared" si="1"/>
        <v/>
      </c>
      <c r="E52" s="110" t="s">
        <v>33</v>
      </c>
      <c r="F52" s="110" t="s">
        <v>803</v>
      </c>
      <c r="G52" s="110" t="s">
        <v>132</v>
      </c>
      <c r="H52" s="110" t="s">
        <v>75</v>
      </c>
      <c r="I52" s="110" t="s">
        <v>1176</v>
      </c>
      <c r="J52" s="110"/>
      <c r="K52" s="118"/>
      <c r="L52" s="118"/>
      <c r="M52" s="117" t="s">
        <v>296</v>
      </c>
      <c r="N52" s="110"/>
    </row>
    <row r="53" spans="1:14" ht="315" x14ac:dyDescent="0.3">
      <c r="A53" s="117" t="s">
        <v>9</v>
      </c>
      <c r="B53" s="117" t="str">
        <f>A53&amp;"-"&amp;TEXT(COUNTIF($A$4:$A53, A53), "000")</f>
        <v>SFR-049</v>
      </c>
      <c r="C53" s="117"/>
      <c r="D53" s="117" t="str">
        <f t="shared" si="1"/>
        <v/>
      </c>
      <c r="E53" s="110" t="s">
        <v>33</v>
      </c>
      <c r="F53" s="110" t="s">
        <v>804</v>
      </c>
      <c r="G53" s="110" t="s">
        <v>132</v>
      </c>
      <c r="H53" s="110" t="s">
        <v>74</v>
      </c>
      <c r="I53" s="110" t="s">
        <v>805</v>
      </c>
      <c r="J53" s="110"/>
      <c r="K53" s="118"/>
      <c r="L53" s="118"/>
      <c r="M53" s="117" t="s">
        <v>297</v>
      </c>
      <c r="N53" s="110"/>
    </row>
    <row r="54" spans="1:14" ht="150" x14ac:dyDescent="0.3">
      <c r="A54" s="117" t="s">
        <v>9</v>
      </c>
      <c r="B54" s="117" t="str">
        <f>A54&amp;"-"&amp;TEXT(COUNTIF($A$4:$A54, A54), "000")</f>
        <v>SFR-050</v>
      </c>
      <c r="C54" s="117"/>
      <c r="D54" s="117" t="str">
        <f t="shared" si="1"/>
        <v/>
      </c>
      <c r="E54" s="110" t="s">
        <v>33</v>
      </c>
      <c r="F54" s="110" t="s">
        <v>806</v>
      </c>
      <c r="G54" s="110" t="s">
        <v>132</v>
      </c>
      <c r="H54" s="110" t="s">
        <v>76</v>
      </c>
      <c r="I54" s="110" t="s">
        <v>807</v>
      </c>
      <c r="J54" s="110"/>
      <c r="K54" s="118"/>
      <c r="L54" s="118"/>
      <c r="M54" s="117" t="s">
        <v>298</v>
      </c>
      <c r="N54" s="110"/>
    </row>
    <row r="55" spans="1:14" ht="120" x14ac:dyDescent="0.3">
      <c r="A55" s="117" t="s">
        <v>9</v>
      </c>
      <c r="B55" s="117" t="str">
        <f>A55&amp;"-"&amp;TEXT(COUNTIF($A$4:$A55, A55), "000")</f>
        <v>SFR-051</v>
      </c>
      <c r="C55" s="117"/>
      <c r="D55" s="117" t="str">
        <f t="shared" si="1"/>
        <v/>
      </c>
      <c r="E55" s="110" t="s">
        <v>33</v>
      </c>
      <c r="F55" s="110" t="s">
        <v>808</v>
      </c>
      <c r="G55" s="110" t="s">
        <v>132</v>
      </c>
      <c r="H55" s="110" t="s">
        <v>77</v>
      </c>
      <c r="I55" s="110" t="s">
        <v>809</v>
      </c>
      <c r="J55" s="110"/>
      <c r="K55" s="118"/>
      <c r="L55" s="118"/>
      <c r="M55" s="117" t="s">
        <v>299</v>
      </c>
      <c r="N55" s="110"/>
    </row>
    <row r="56" spans="1:14" ht="45" x14ac:dyDescent="0.3">
      <c r="A56" s="117" t="s">
        <v>9</v>
      </c>
      <c r="B56" s="117" t="str">
        <f>A56&amp;"-"&amp;TEXT(COUNTIF($A$4:$A56, A56), "000")</f>
        <v>SFR-052</v>
      </c>
      <c r="C56" s="117"/>
      <c r="D56" s="117" t="str">
        <f t="shared" si="1"/>
        <v/>
      </c>
      <c r="E56" s="110" t="s">
        <v>33</v>
      </c>
      <c r="F56" s="110" t="s">
        <v>284</v>
      </c>
      <c r="G56" s="110" t="s">
        <v>132</v>
      </c>
      <c r="H56" s="110" t="s">
        <v>285</v>
      </c>
      <c r="I56" s="110" t="s">
        <v>810</v>
      </c>
      <c r="J56" s="110"/>
      <c r="K56" s="118"/>
      <c r="L56" s="118"/>
      <c r="M56" s="117" t="s">
        <v>300</v>
      </c>
      <c r="N56" s="110"/>
    </row>
    <row r="57" spans="1:14" ht="102.75" customHeight="1" x14ac:dyDescent="0.3">
      <c r="A57" s="117" t="s">
        <v>9</v>
      </c>
      <c r="B57" s="117" t="str">
        <f>A57&amp;"-"&amp;TEXT(COUNTIF($A$4:$A57, A57), "000")</f>
        <v>SFR-053</v>
      </c>
      <c r="C57" s="117"/>
      <c r="D57" s="117" t="str">
        <f t="shared" si="1"/>
        <v/>
      </c>
      <c r="E57" s="110" t="s">
        <v>33</v>
      </c>
      <c r="F57" s="110" t="s">
        <v>811</v>
      </c>
      <c r="G57" s="110" t="s">
        <v>132</v>
      </c>
      <c r="H57" s="110" t="s">
        <v>286</v>
      </c>
      <c r="I57" s="110" t="s">
        <v>758</v>
      </c>
      <c r="J57" s="110"/>
      <c r="K57" s="118"/>
      <c r="L57" s="118"/>
      <c r="M57" s="117" t="s">
        <v>301</v>
      </c>
      <c r="N57" s="110"/>
    </row>
    <row r="58" spans="1:14" ht="270" x14ac:dyDescent="0.3">
      <c r="A58" s="117" t="s">
        <v>9</v>
      </c>
      <c r="B58" s="117" t="str">
        <f>A58&amp;"-"&amp;TEXT(COUNTIF($A$4:$A58, A58), "000")</f>
        <v>SFR-054</v>
      </c>
      <c r="C58" s="117"/>
      <c r="D58" s="117" t="str">
        <f t="shared" si="1"/>
        <v/>
      </c>
      <c r="E58" s="110" t="s">
        <v>33</v>
      </c>
      <c r="F58" s="110" t="s">
        <v>812</v>
      </c>
      <c r="G58" s="110" t="s">
        <v>132</v>
      </c>
      <c r="H58" s="110" t="s">
        <v>287</v>
      </c>
      <c r="I58" s="110" t="s">
        <v>813</v>
      </c>
      <c r="J58" s="110"/>
      <c r="K58" s="118"/>
      <c r="L58" s="118"/>
      <c r="M58" s="117" t="s">
        <v>301</v>
      </c>
      <c r="N58" s="110"/>
    </row>
    <row r="59" spans="1:14" ht="255" x14ac:dyDescent="0.3">
      <c r="A59" s="117" t="s">
        <v>9</v>
      </c>
      <c r="B59" s="117" t="str">
        <f>A59&amp;"-"&amp;TEXT(COUNTIF($A$4:$A59, A59), "000")</f>
        <v>SFR-055</v>
      </c>
      <c r="C59" s="117"/>
      <c r="D59" s="117" t="str">
        <f t="shared" si="1"/>
        <v/>
      </c>
      <c r="E59" s="110" t="s">
        <v>33</v>
      </c>
      <c r="F59" s="110" t="s">
        <v>814</v>
      </c>
      <c r="G59" s="110" t="s">
        <v>132</v>
      </c>
      <c r="H59" s="110" t="s">
        <v>288</v>
      </c>
      <c r="I59" s="110" t="s">
        <v>815</v>
      </c>
      <c r="J59" s="110"/>
      <c r="K59" s="118"/>
      <c r="L59" s="118"/>
      <c r="M59" s="117" t="s">
        <v>816</v>
      </c>
      <c r="N59" s="110"/>
    </row>
    <row r="60" spans="1:14" ht="270" x14ac:dyDescent="0.3">
      <c r="A60" s="117" t="s">
        <v>9</v>
      </c>
      <c r="B60" s="117" t="str">
        <f>A60&amp;"-"&amp;TEXT(COUNTIF($A$4:$A60, A60), "000")</f>
        <v>SFR-056</v>
      </c>
      <c r="C60" s="117"/>
      <c r="D60" s="117" t="str">
        <f t="shared" si="1"/>
        <v/>
      </c>
      <c r="E60" s="110" t="s">
        <v>33</v>
      </c>
      <c r="F60" s="110" t="s">
        <v>817</v>
      </c>
      <c r="G60" s="110" t="s">
        <v>132</v>
      </c>
      <c r="H60" s="110" t="s">
        <v>289</v>
      </c>
      <c r="I60" s="110" t="s">
        <v>818</v>
      </c>
      <c r="J60" s="110"/>
      <c r="K60" s="118"/>
      <c r="L60" s="118"/>
      <c r="M60" s="117" t="s">
        <v>816</v>
      </c>
      <c r="N60" s="117"/>
    </row>
    <row r="61" spans="1:14" ht="180" x14ac:dyDescent="0.3">
      <c r="A61" s="117" t="s">
        <v>9</v>
      </c>
      <c r="B61" s="117" t="str">
        <f>A61&amp;"-"&amp;TEXT(COUNTIF($A$4:$A61, A61), "000")</f>
        <v>SFR-057</v>
      </c>
      <c r="C61" s="117"/>
      <c r="D61" s="117" t="str">
        <f t="shared" si="1"/>
        <v/>
      </c>
      <c r="E61" s="110" t="s">
        <v>33</v>
      </c>
      <c r="F61" s="110" t="s">
        <v>819</v>
      </c>
      <c r="G61" s="110" t="s">
        <v>132</v>
      </c>
      <c r="H61" s="110" t="s">
        <v>78</v>
      </c>
      <c r="I61" s="110" t="s">
        <v>820</v>
      </c>
      <c r="J61" s="110"/>
      <c r="K61" s="118"/>
      <c r="L61" s="118"/>
      <c r="M61" s="117" t="s">
        <v>821</v>
      </c>
      <c r="N61" s="110"/>
    </row>
    <row r="62" spans="1:14" ht="375" x14ac:dyDescent="0.3">
      <c r="A62" s="117" t="s">
        <v>9</v>
      </c>
      <c r="B62" s="117" t="str">
        <f>A62&amp;"-"&amp;TEXT(COUNTIF($A$4:$A62, A62), "000")</f>
        <v>SFR-058</v>
      </c>
      <c r="C62" s="117"/>
      <c r="D62" s="117" t="str">
        <f t="shared" si="1"/>
        <v/>
      </c>
      <c r="E62" s="110" t="s">
        <v>33</v>
      </c>
      <c r="F62" s="110" t="s">
        <v>822</v>
      </c>
      <c r="G62" s="110" t="s">
        <v>132</v>
      </c>
      <c r="H62" s="110" t="s">
        <v>79</v>
      </c>
      <c r="I62" s="110" t="s">
        <v>823</v>
      </c>
      <c r="J62" s="110"/>
      <c r="K62" s="118"/>
      <c r="L62" s="118"/>
      <c r="M62" s="117" t="s">
        <v>821</v>
      </c>
      <c r="N62" s="110"/>
    </row>
    <row r="63" spans="1:14" ht="60" x14ac:dyDescent="0.3">
      <c r="A63" s="117" t="s">
        <v>9</v>
      </c>
      <c r="B63" s="117" t="str">
        <f>A63&amp;"-"&amp;TEXT(COUNTIF($A$4:$A63, A63), "000")</f>
        <v>SFR-059</v>
      </c>
      <c r="C63" s="117"/>
      <c r="D63" s="117" t="str">
        <f t="shared" si="1"/>
        <v/>
      </c>
      <c r="E63" s="110" t="s">
        <v>33</v>
      </c>
      <c r="F63" s="110" t="s">
        <v>824</v>
      </c>
      <c r="G63" s="110" t="s">
        <v>132</v>
      </c>
      <c r="H63" s="110" t="s">
        <v>80</v>
      </c>
      <c r="I63" s="110" t="s">
        <v>759</v>
      </c>
      <c r="J63" s="110"/>
      <c r="K63" s="118"/>
      <c r="L63" s="118"/>
      <c r="M63" s="117" t="s">
        <v>825</v>
      </c>
      <c r="N63" s="110"/>
    </row>
    <row r="64" spans="1:14" ht="300" x14ac:dyDescent="0.3">
      <c r="A64" s="117" t="s">
        <v>9</v>
      </c>
      <c r="B64" s="117" t="str">
        <f>A64&amp;"-"&amp;TEXT(COUNTIF($A$4:$A64, A64), "000")</f>
        <v>SFR-060</v>
      </c>
      <c r="C64" s="117"/>
      <c r="D64" s="117" t="str">
        <f t="shared" si="1"/>
        <v/>
      </c>
      <c r="E64" s="110" t="s">
        <v>33</v>
      </c>
      <c r="F64" s="110" t="s">
        <v>826</v>
      </c>
      <c r="G64" s="110" t="s">
        <v>132</v>
      </c>
      <c r="H64" s="110" t="s">
        <v>81</v>
      </c>
      <c r="I64" s="110" t="s">
        <v>1177</v>
      </c>
      <c r="J64" s="110"/>
      <c r="K64" s="118"/>
      <c r="L64" s="118"/>
      <c r="M64" s="117" t="s">
        <v>827</v>
      </c>
      <c r="N64" s="110"/>
    </row>
    <row r="65" spans="1:14" ht="165" x14ac:dyDescent="0.3">
      <c r="A65" s="117" t="s">
        <v>9</v>
      </c>
      <c r="B65" s="117" t="str">
        <f>A65&amp;"-"&amp;TEXT(COUNTIF($A$4:$A65, A65), "000")</f>
        <v>SFR-061</v>
      </c>
      <c r="C65" s="117"/>
      <c r="D65" s="117" t="str">
        <f t="shared" si="1"/>
        <v/>
      </c>
      <c r="E65" s="110" t="s">
        <v>33</v>
      </c>
      <c r="F65" s="110" t="s">
        <v>828</v>
      </c>
      <c r="G65" s="110" t="s">
        <v>132</v>
      </c>
      <c r="H65" s="110" t="s">
        <v>302</v>
      </c>
      <c r="I65" s="110" t="s">
        <v>829</v>
      </c>
      <c r="J65" s="110"/>
      <c r="K65" s="118"/>
      <c r="L65" s="118"/>
      <c r="M65" s="117" t="s">
        <v>830</v>
      </c>
      <c r="N65" s="110"/>
    </row>
    <row r="66" spans="1:14" ht="30" x14ac:dyDescent="0.3">
      <c r="A66" s="117" t="s">
        <v>9</v>
      </c>
      <c r="B66" s="117" t="str">
        <f>A66&amp;"-"&amp;TEXT(COUNTIF($A$4:$A66, A66), "000")</f>
        <v>SFR-062</v>
      </c>
      <c r="C66" s="117"/>
      <c r="D66" s="117" t="str">
        <f t="shared" si="1"/>
        <v/>
      </c>
      <c r="E66" s="110" t="s">
        <v>33</v>
      </c>
      <c r="F66" s="110" t="s">
        <v>831</v>
      </c>
      <c r="G66" s="110" t="s">
        <v>132</v>
      </c>
      <c r="H66" s="110" t="s">
        <v>303</v>
      </c>
      <c r="I66" s="110" t="s">
        <v>760</v>
      </c>
      <c r="J66" s="110"/>
      <c r="K66" s="118"/>
      <c r="L66" s="118"/>
      <c r="M66" s="117" t="s">
        <v>832</v>
      </c>
      <c r="N66" s="110"/>
    </row>
    <row r="67" spans="1:14" ht="165" x14ac:dyDescent="0.3">
      <c r="A67" s="117" t="s">
        <v>9</v>
      </c>
      <c r="B67" s="117" t="str">
        <f>A67&amp;"-"&amp;TEXT(COUNTIF($A$4:$A67, A67), "000")</f>
        <v>SFR-063</v>
      </c>
      <c r="C67" s="117"/>
      <c r="D67" s="117" t="str">
        <f t="shared" si="1"/>
        <v/>
      </c>
      <c r="E67" s="110" t="s">
        <v>33</v>
      </c>
      <c r="F67" s="110" t="s">
        <v>833</v>
      </c>
      <c r="G67" s="110" t="s">
        <v>132</v>
      </c>
      <c r="H67" s="110" t="s">
        <v>304</v>
      </c>
      <c r="I67" s="110" t="s">
        <v>1178</v>
      </c>
      <c r="J67" s="110"/>
      <c r="K67" s="118"/>
      <c r="L67" s="118"/>
      <c r="M67" s="117" t="s">
        <v>834</v>
      </c>
      <c r="N67" s="110"/>
    </row>
    <row r="68" spans="1:14" ht="330" x14ac:dyDescent="0.3">
      <c r="A68" s="117" t="s">
        <v>9</v>
      </c>
      <c r="B68" s="117" t="str">
        <f>A68&amp;"-"&amp;TEXT(COUNTIF($A$4:$A68, A68), "000")</f>
        <v>SFR-064</v>
      </c>
      <c r="C68" s="117"/>
      <c r="D68" s="117" t="str">
        <f t="shared" ref="D68:D75" si="2">IFERROR(VLOOKUP(C68,B:F,5,0),"")</f>
        <v/>
      </c>
      <c r="E68" s="110" t="s">
        <v>33</v>
      </c>
      <c r="F68" s="110" t="s">
        <v>305</v>
      </c>
      <c r="G68" s="110" t="s">
        <v>132</v>
      </c>
      <c r="H68" s="110" t="s">
        <v>835</v>
      </c>
      <c r="I68" s="110" t="s">
        <v>836</v>
      </c>
      <c r="J68" s="110"/>
      <c r="K68" s="118"/>
      <c r="L68" s="118"/>
      <c r="M68" s="117" t="s">
        <v>837</v>
      </c>
      <c r="N68" s="110"/>
    </row>
    <row r="69" spans="1:14" ht="180" x14ac:dyDescent="0.3">
      <c r="A69" s="117" t="s">
        <v>9</v>
      </c>
      <c r="B69" s="117" t="str">
        <f>A69&amp;"-"&amp;TEXT(COUNTIF($A$4:$A69, A69), "000")</f>
        <v>SFR-065</v>
      </c>
      <c r="C69" s="117"/>
      <c r="D69" s="117" t="str">
        <f t="shared" si="2"/>
        <v/>
      </c>
      <c r="E69" s="110" t="s">
        <v>33</v>
      </c>
      <c r="F69" s="110" t="s">
        <v>838</v>
      </c>
      <c r="G69" s="110" t="s">
        <v>132</v>
      </c>
      <c r="H69" s="110" t="s">
        <v>839</v>
      </c>
      <c r="I69" s="110" t="s">
        <v>840</v>
      </c>
      <c r="J69" s="110"/>
      <c r="K69" s="118"/>
      <c r="L69" s="118"/>
      <c r="M69" s="117" t="s">
        <v>841</v>
      </c>
      <c r="N69" s="110"/>
    </row>
    <row r="70" spans="1:14" ht="360" x14ac:dyDescent="0.3">
      <c r="A70" s="117" t="s">
        <v>9</v>
      </c>
      <c r="B70" s="117" t="str">
        <f>A70&amp;"-"&amp;TEXT(COUNTIF($A$4:$A70, A70), "000")</f>
        <v>SFR-066</v>
      </c>
      <c r="C70" s="117"/>
      <c r="D70" s="117" t="str">
        <f t="shared" si="2"/>
        <v/>
      </c>
      <c r="E70" s="110" t="s">
        <v>33</v>
      </c>
      <c r="F70" s="110" t="s">
        <v>34</v>
      </c>
      <c r="G70" s="110" t="s">
        <v>132</v>
      </c>
      <c r="H70" s="110" t="s">
        <v>82</v>
      </c>
      <c r="I70" s="110" t="s">
        <v>842</v>
      </c>
      <c r="J70" s="110"/>
      <c r="K70" s="118"/>
      <c r="L70" s="118"/>
      <c r="M70" s="117" t="s">
        <v>843</v>
      </c>
      <c r="N70" s="110"/>
    </row>
    <row r="71" spans="1:14" ht="405" x14ac:dyDescent="0.3">
      <c r="A71" s="117" t="s">
        <v>9</v>
      </c>
      <c r="B71" s="117" t="str">
        <f>A71&amp;"-"&amp;TEXT(COUNTIF($A$4:$A71, A71), "000")</f>
        <v>SFR-067</v>
      </c>
      <c r="C71" s="117"/>
      <c r="D71" s="117" t="str">
        <f t="shared" si="2"/>
        <v/>
      </c>
      <c r="E71" s="110" t="s">
        <v>33</v>
      </c>
      <c r="F71" s="110" t="s">
        <v>83</v>
      </c>
      <c r="G71" s="110" t="s">
        <v>132</v>
      </c>
      <c r="H71" s="110" t="s">
        <v>83</v>
      </c>
      <c r="I71" s="128" t="s">
        <v>761</v>
      </c>
      <c r="J71" s="110"/>
      <c r="K71" s="118"/>
      <c r="L71" s="118"/>
      <c r="M71" s="117" t="s">
        <v>844</v>
      </c>
      <c r="N71" s="110"/>
    </row>
    <row r="72" spans="1:14" ht="135" x14ac:dyDescent="0.3">
      <c r="A72" s="117" t="s">
        <v>9</v>
      </c>
      <c r="B72" s="117" t="str">
        <f>A72&amp;"-"&amp;TEXT(COUNTIF($A$4:$A72, A72), "000")</f>
        <v>SFR-068</v>
      </c>
      <c r="C72" s="117"/>
      <c r="D72" s="117" t="str">
        <f t="shared" si="2"/>
        <v/>
      </c>
      <c r="E72" s="110" t="s">
        <v>120</v>
      </c>
      <c r="F72" s="110" t="s">
        <v>306</v>
      </c>
      <c r="G72" s="110" t="s">
        <v>132</v>
      </c>
      <c r="H72" s="129" t="s">
        <v>306</v>
      </c>
      <c r="I72" s="110" t="s">
        <v>1020</v>
      </c>
      <c r="J72" s="110"/>
      <c r="K72" s="118"/>
      <c r="L72" s="118"/>
      <c r="M72" s="117" t="s">
        <v>845</v>
      </c>
      <c r="N72" s="110"/>
    </row>
    <row r="73" spans="1:14" ht="45" x14ac:dyDescent="0.3">
      <c r="A73" s="117" t="s">
        <v>9</v>
      </c>
      <c r="B73" s="117" t="str">
        <f>A73&amp;"-"&amp;TEXT(COUNTIF($A$4:$A73, A73), "000")</f>
        <v>SFR-069</v>
      </c>
      <c r="C73" s="117"/>
      <c r="D73" s="117" t="str">
        <f t="shared" si="2"/>
        <v/>
      </c>
      <c r="E73" s="110" t="s">
        <v>33</v>
      </c>
      <c r="F73" s="110" t="s">
        <v>35</v>
      </c>
      <c r="G73" s="110" t="s">
        <v>132</v>
      </c>
      <c r="H73" s="129" t="s">
        <v>84</v>
      </c>
      <c r="I73" s="110" t="s">
        <v>762</v>
      </c>
      <c r="J73" s="110"/>
      <c r="K73" s="118"/>
      <c r="L73" s="118"/>
      <c r="M73" s="117" t="s">
        <v>846</v>
      </c>
      <c r="N73" s="110"/>
    </row>
    <row r="74" spans="1:14" ht="75" x14ac:dyDescent="0.3">
      <c r="A74" s="117" t="s">
        <v>9</v>
      </c>
      <c r="B74" s="117" t="str">
        <f>A74&amp;"-"&amp;TEXT(COUNTIF($A$4:$A74, A74), "000")</f>
        <v>SFR-070</v>
      </c>
      <c r="C74" s="117"/>
      <c r="D74" s="117" t="str">
        <f t="shared" si="2"/>
        <v/>
      </c>
      <c r="E74" s="110" t="s">
        <v>33</v>
      </c>
      <c r="F74" s="110" t="s">
        <v>290</v>
      </c>
      <c r="G74" s="110" t="s">
        <v>132</v>
      </c>
      <c r="H74" s="129" t="s">
        <v>291</v>
      </c>
      <c r="I74" s="110" t="s">
        <v>763</v>
      </c>
      <c r="J74" s="110"/>
      <c r="K74" s="118"/>
      <c r="L74" s="118"/>
      <c r="M74" s="117" t="s">
        <v>847</v>
      </c>
      <c r="N74" s="110"/>
    </row>
    <row r="75" spans="1:14" ht="60" x14ac:dyDescent="0.3">
      <c r="A75" s="117" t="s">
        <v>9</v>
      </c>
      <c r="B75" s="117" t="str">
        <f>A75&amp;"-"&amp;TEXT(COUNTIF($A$4:$A75, A75), "000")</f>
        <v>SFR-071</v>
      </c>
      <c r="C75" s="117"/>
      <c r="D75" s="117" t="str">
        <f t="shared" si="2"/>
        <v/>
      </c>
      <c r="E75" s="110" t="s">
        <v>120</v>
      </c>
      <c r="F75" s="110" t="s">
        <v>848</v>
      </c>
      <c r="G75" s="110" t="s">
        <v>132</v>
      </c>
      <c r="H75" s="110" t="s">
        <v>277</v>
      </c>
      <c r="I75" s="110" t="s">
        <v>772</v>
      </c>
      <c r="J75" s="119" t="s">
        <v>867</v>
      </c>
      <c r="K75" s="118"/>
      <c r="L75" s="118"/>
      <c r="M75" s="117" t="s">
        <v>174</v>
      </c>
      <c r="N75" s="110"/>
    </row>
    <row r="76" spans="1:14" ht="120" x14ac:dyDescent="0.3">
      <c r="A76" s="117" t="s">
        <v>9</v>
      </c>
      <c r="B76" s="117" t="str">
        <f>A76&amp;"-"&amp;TEXT(COUNTIF($A$4:$A76, A76), "000")</f>
        <v>SFR-072</v>
      </c>
      <c r="C76" s="117"/>
      <c r="D76" s="117" t="str">
        <f>IFERROR(VLOOKUP(C76,B$76:F$76,5,0),"")</f>
        <v/>
      </c>
      <c r="E76" s="110" t="s">
        <v>721</v>
      </c>
      <c r="F76" s="110" t="s">
        <v>720</v>
      </c>
      <c r="G76" s="110" t="s">
        <v>132</v>
      </c>
      <c r="H76" s="110" t="s">
        <v>719</v>
      </c>
      <c r="I76" s="110" t="s">
        <v>742</v>
      </c>
      <c r="J76" s="119" t="s">
        <v>773</v>
      </c>
      <c r="K76" s="118"/>
      <c r="L76" s="118"/>
      <c r="M76" s="117"/>
      <c r="N76" s="118" t="s">
        <v>722</v>
      </c>
    </row>
    <row r="77" spans="1:14" ht="195" x14ac:dyDescent="0.3">
      <c r="A77" s="117" t="s">
        <v>136</v>
      </c>
      <c r="B77" s="117" t="str">
        <f>A77&amp;"-"&amp;TEXT(COUNTIF($A$4:$A77, A77), "000")</f>
        <v>SER-001</v>
      </c>
      <c r="C77" s="117"/>
      <c r="D77" s="117" t="str">
        <f t="shared" ref="D77:D113" si="3">IFERROR(VLOOKUP(C77,B:F,5,0),"")</f>
        <v/>
      </c>
      <c r="E77" s="110" t="s">
        <v>223</v>
      </c>
      <c r="F77" s="110" t="s">
        <v>849</v>
      </c>
      <c r="G77" s="110" t="s">
        <v>132</v>
      </c>
      <c r="H77" s="110" t="s">
        <v>37</v>
      </c>
      <c r="I77" s="110" t="s">
        <v>1158</v>
      </c>
      <c r="J77" s="119"/>
      <c r="K77" s="118"/>
      <c r="L77" s="118"/>
      <c r="M77" s="117"/>
      <c r="N77" s="118" t="s">
        <v>1032</v>
      </c>
    </row>
    <row r="78" spans="1:14" ht="285" x14ac:dyDescent="0.3">
      <c r="A78" s="117" t="s">
        <v>136</v>
      </c>
      <c r="B78" s="117" t="str">
        <f>A78&amp;"-"&amp;TEXT(COUNTIF($A$4:$A78, A78), "000")</f>
        <v>SER-002</v>
      </c>
      <c r="C78" s="117"/>
      <c r="D78" s="117" t="str">
        <f t="shared" si="3"/>
        <v/>
      </c>
      <c r="E78" s="110" t="s">
        <v>223</v>
      </c>
      <c r="F78" s="110" t="s">
        <v>148</v>
      </c>
      <c r="G78" s="110" t="s">
        <v>132</v>
      </c>
      <c r="H78" s="110" t="s">
        <v>206</v>
      </c>
      <c r="I78" s="110" t="s">
        <v>1159</v>
      </c>
      <c r="J78" s="119"/>
      <c r="K78" s="118"/>
      <c r="L78" s="118"/>
      <c r="M78" s="117"/>
      <c r="N78" s="117"/>
    </row>
    <row r="79" spans="1:14" ht="315" x14ac:dyDescent="0.3">
      <c r="A79" s="117" t="s">
        <v>136</v>
      </c>
      <c r="B79" s="117" t="str">
        <f>A79&amp;"-"&amp;TEXT(COUNTIF($A$4:$A79, A79), "000")</f>
        <v>SER-003</v>
      </c>
      <c r="C79" s="117"/>
      <c r="D79" s="117" t="str">
        <f t="shared" si="3"/>
        <v/>
      </c>
      <c r="E79" s="110" t="s">
        <v>223</v>
      </c>
      <c r="F79" s="110" t="s">
        <v>155</v>
      </c>
      <c r="G79" s="110" t="s">
        <v>132</v>
      </c>
      <c r="H79" s="110" t="s">
        <v>207</v>
      </c>
      <c r="I79" s="110" t="s">
        <v>1160</v>
      </c>
      <c r="J79" s="119"/>
      <c r="K79" s="118"/>
      <c r="L79" s="118"/>
      <c r="M79" s="117"/>
      <c r="N79" s="117"/>
    </row>
    <row r="80" spans="1:14" ht="75" x14ac:dyDescent="0.3">
      <c r="A80" s="117" t="s">
        <v>136</v>
      </c>
      <c r="B80" s="117" t="str">
        <f>A80&amp;"-"&amp;TEXT(COUNTIF($A$4:$A80, A80), "000")</f>
        <v>SER-004</v>
      </c>
      <c r="C80" s="117"/>
      <c r="D80" s="117" t="str">
        <f t="shared" si="3"/>
        <v/>
      </c>
      <c r="E80" s="110" t="s">
        <v>223</v>
      </c>
      <c r="F80" s="110" t="s">
        <v>156</v>
      </c>
      <c r="G80" s="110" t="s">
        <v>132</v>
      </c>
      <c r="H80" s="110" t="s">
        <v>208</v>
      </c>
      <c r="I80" s="110" t="s">
        <v>1027</v>
      </c>
      <c r="J80" s="119"/>
      <c r="K80" s="118"/>
      <c r="L80" s="118"/>
      <c r="M80" s="117"/>
      <c r="N80" s="117"/>
    </row>
    <row r="81" spans="1:14" ht="255" x14ac:dyDescent="0.3">
      <c r="A81" s="117" t="s">
        <v>136</v>
      </c>
      <c r="B81" s="117" t="str">
        <f>A81&amp;"-"&amp;TEXT(COUNTIF($A$4:$A81, A81), "000")</f>
        <v>SER-005</v>
      </c>
      <c r="C81" s="117"/>
      <c r="D81" s="117" t="str">
        <f t="shared" si="3"/>
        <v/>
      </c>
      <c r="E81" s="110" t="s">
        <v>223</v>
      </c>
      <c r="F81" s="110" t="s">
        <v>157</v>
      </c>
      <c r="G81" s="110" t="s">
        <v>132</v>
      </c>
      <c r="H81" s="110" t="s">
        <v>209</v>
      </c>
      <c r="I81" s="110" t="s">
        <v>1034</v>
      </c>
      <c r="J81" s="119" t="s">
        <v>868</v>
      </c>
      <c r="K81" s="118"/>
      <c r="L81" s="118"/>
      <c r="M81" s="117"/>
      <c r="N81" s="117"/>
    </row>
    <row r="82" spans="1:14" ht="409.5" x14ac:dyDescent="0.3">
      <c r="A82" s="117" t="s">
        <v>136</v>
      </c>
      <c r="B82" s="117" t="str">
        <f>A82&amp;"-"&amp;TEXT(COUNTIF($A$4:$A82, A82), "000")</f>
        <v>SER-006</v>
      </c>
      <c r="C82" s="117"/>
      <c r="D82" s="117" t="str">
        <f t="shared" si="3"/>
        <v/>
      </c>
      <c r="E82" s="110" t="s">
        <v>223</v>
      </c>
      <c r="F82" s="110" t="s">
        <v>163</v>
      </c>
      <c r="G82" s="110" t="s">
        <v>132</v>
      </c>
      <c r="H82" s="110" t="s">
        <v>164</v>
      </c>
      <c r="I82" s="110" t="s">
        <v>1161</v>
      </c>
      <c r="J82" s="119"/>
      <c r="K82" s="118"/>
      <c r="L82" s="118"/>
      <c r="M82" s="117"/>
      <c r="N82" s="118" t="s">
        <v>1031</v>
      </c>
    </row>
    <row r="83" spans="1:14" ht="300" x14ac:dyDescent="0.3">
      <c r="A83" s="117" t="s">
        <v>136</v>
      </c>
      <c r="B83" s="117" t="str">
        <f>A83&amp;"-"&amp;TEXT(COUNTIF($A$4:$A83, A83), "000")</f>
        <v>SER-007</v>
      </c>
      <c r="C83" s="117"/>
      <c r="D83" s="117" t="str">
        <f t="shared" si="3"/>
        <v/>
      </c>
      <c r="E83" s="110" t="s">
        <v>223</v>
      </c>
      <c r="F83" s="110" t="s">
        <v>165</v>
      </c>
      <c r="G83" s="110" t="s">
        <v>132</v>
      </c>
      <c r="H83" s="110" t="s">
        <v>166</v>
      </c>
      <c r="I83" s="110" t="s">
        <v>1042</v>
      </c>
      <c r="J83" s="131" t="s">
        <v>869</v>
      </c>
      <c r="K83" s="118"/>
      <c r="L83" s="118"/>
      <c r="M83" s="117"/>
      <c r="N83" s="117"/>
    </row>
    <row r="84" spans="1:14" ht="390" x14ac:dyDescent="0.3">
      <c r="A84" s="117" t="s">
        <v>136</v>
      </c>
      <c r="B84" s="117" t="str">
        <f>A84&amp;"-"&amp;TEXT(COUNTIF($A$4:$A84, A84), "000")</f>
        <v>SER-008</v>
      </c>
      <c r="C84" s="117"/>
      <c r="D84" s="117" t="str">
        <f t="shared" si="3"/>
        <v/>
      </c>
      <c r="E84" s="110" t="s">
        <v>143</v>
      </c>
      <c r="F84" s="110" t="s">
        <v>709</v>
      </c>
      <c r="G84" s="110" t="s">
        <v>132</v>
      </c>
      <c r="H84" s="110" t="s">
        <v>710</v>
      </c>
      <c r="I84" s="110" t="s">
        <v>1162</v>
      </c>
      <c r="J84" s="119"/>
      <c r="K84" s="118"/>
      <c r="L84" s="118"/>
      <c r="M84" s="117"/>
      <c r="N84" s="118" t="s">
        <v>1031</v>
      </c>
    </row>
    <row r="85" spans="1:14" ht="135" x14ac:dyDescent="0.3">
      <c r="A85" s="117" t="s">
        <v>136</v>
      </c>
      <c r="B85" s="117" t="str">
        <f>A85&amp;"-"&amp;TEXT(COUNTIF($A$4:$A85, A85), "000")</f>
        <v>SER-009</v>
      </c>
      <c r="C85" s="117"/>
      <c r="D85" s="117" t="str">
        <f t="shared" si="3"/>
        <v/>
      </c>
      <c r="E85" s="110" t="s">
        <v>143</v>
      </c>
      <c r="F85" s="110" t="s">
        <v>711</v>
      </c>
      <c r="G85" s="110" t="s">
        <v>132</v>
      </c>
      <c r="H85" s="110" t="s">
        <v>711</v>
      </c>
      <c r="I85" s="110" t="s">
        <v>1033</v>
      </c>
      <c r="J85" s="119" t="s">
        <v>891</v>
      </c>
      <c r="K85" s="118"/>
      <c r="L85" s="118"/>
      <c r="M85" s="117"/>
      <c r="N85" s="118" t="s">
        <v>722</v>
      </c>
    </row>
    <row r="86" spans="1:14" ht="345" x14ac:dyDescent="0.3">
      <c r="A86" s="117" t="s">
        <v>136</v>
      </c>
      <c r="B86" s="117" t="str">
        <f>A86&amp;"-"&amp;TEXT(COUNTIF($A$4:$A86, A86), "000")</f>
        <v>SER-010</v>
      </c>
      <c r="C86" s="117"/>
      <c r="D86" s="117" t="str">
        <f t="shared" si="3"/>
        <v/>
      </c>
      <c r="E86" s="110" t="s">
        <v>143</v>
      </c>
      <c r="F86" s="110" t="s">
        <v>712</v>
      </c>
      <c r="G86" s="110" t="s">
        <v>132</v>
      </c>
      <c r="H86" s="110" t="s">
        <v>713</v>
      </c>
      <c r="I86" s="110" t="s">
        <v>1163</v>
      </c>
      <c r="J86" s="119" t="s">
        <v>892</v>
      </c>
      <c r="K86" s="118"/>
      <c r="L86" s="118"/>
      <c r="M86" s="117"/>
      <c r="N86" s="118" t="s">
        <v>1032</v>
      </c>
    </row>
    <row r="87" spans="1:14" ht="409.5" x14ac:dyDescent="0.3">
      <c r="A87" s="117" t="s">
        <v>136</v>
      </c>
      <c r="B87" s="117" t="str">
        <f>A87&amp;"-"&amp;TEXT(COUNTIF($A$4:$A87, A87), "000")</f>
        <v>SER-011</v>
      </c>
      <c r="C87" s="117"/>
      <c r="D87" s="117" t="str">
        <f t="shared" si="3"/>
        <v/>
      </c>
      <c r="E87" s="110" t="s">
        <v>143</v>
      </c>
      <c r="F87" s="110" t="s">
        <v>714</v>
      </c>
      <c r="G87" s="110" t="s">
        <v>132</v>
      </c>
      <c r="H87" s="110" t="s">
        <v>715</v>
      </c>
      <c r="I87" s="110" t="s">
        <v>1164</v>
      </c>
      <c r="J87" s="119"/>
      <c r="K87" s="118"/>
      <c r="L87" s="118"/>
      <c r="M87" s="117"/>
      <c r="N87" s="118" t="s">
        <v>1032</v>
      </c>
    </row>
    <row r="88" spans="1:14" ht="360" x14ac:dyDescent="0.3">
      <c r="A88" s="117" t="s">
        <v>136</v>
      </c>
      <c r="B88" s="117" t="str">
        <f>A88&amp;"-"&amp;TEXT(COUNTIF($A$4:$A88, A88), "000")</f>
        <v>SER-012</v>
      </c>
      <c r="C88" s="117"/>
      <c r="D88" s="117" t="str">
        <f t="shared" si="3"/>
        <v/>
      </c>
      <c r="E88" s="110" t="s">
        <v>143</v>
      </c>
      <c r="F88" s="110" t="s">
        <v>716</v>
      </c>
      <c r="G88" s="110" t="s">
        <v>132</v>
      </c>
      <c r="H88" s="110" t="s">
        <v>716</v>
      </c>
      <c r="I88" s="110" t="s">
        <v>1165</v>
      </c>
      <c r="J88" s="119"/>
      <c r="K88" s="118"/>
      <c r="L88" s="118"/>
      <c r="M88" s="117"/>
      <c r="N88" s="118" t="s">
        <v>722</v>
      </c>
    </row>
    <row r="89" spans="1:14" ht="60" x14ac:dyDescent="0.3">
      <c r="A89" s="117" t="s">
        <v>136</v>
      </c>
      <c r="B89" s="117" t="str">
        <f>A89&amp;"-"&amp;TEXT(COUNTIF($A$4:$A89, A89), "000")</f>
        <v>SER-013</v>
      </c>
      <c r="C89" s="117"/>
      <c r="D89" s="117" t="str">
        <f t="shared" si="3"/>
        <v/>
      </c>
      <c r="E89" s="110" t="s">
        <v>143</v>
      </c>
      <c r="F89" s="110" t="s">
        <v>717</v>
      </c>
      <c r="G89" s="110" t="s">
        <v>132</v>
      </c>
      <c r="H89" s="110" t="s">
        <v>718</v>
      </c>
      <c r="I89" s="110" t="s">
        <v>749</v>
      </c>
      <c r="J89" s="119"/>
      <c r="K89" s="118"/>
      <c r="L89" s="118"/>
      <c r="M89" s="117"/>
      <c r="N89" s="118" t="s">
        <v>722</v>
      </c>
    </row>
    <row r="90" spans="1:14" ht="75" x14ac:dyDescent="0.3">
      <c r="A90" s="117" t="s">
        <v>17</v>
      </c>
      <c r="B90" s="117" t="str">
        <f>A90&amp;"-"&amp;TEXT(COUNTIF($A$4:$A90, A90), "000")</f>
        <v>DAR-001</v>
      </c>
      <c r="C90" s="117" t="s">
        <v>434</v>
      </c>
      <c r="D90" s="117" t="str">
        <f t="shared" si="3"/>
        <v xml:space="preserve"> 데이터 표준관리</v>
      </c>
      <c r="E90" s="110" t="s">
        <v>141</v>
      </c>
      <c r="F90" s="110" t="s">
        <v>640</v>
      </c>
      <c r="G90" s="110" t="s">
        <v>132</v>
      </c>
      <c r="H90" s="130" t="s">
        <v>642</v>
      </c>
      <c r="I90" s="110" t="s">
        <v>764</v>
      </c>
      <c r="J90" s="131" t="s">
        <v>643</v>
      </c>
      <c r="K90" s="118"/>
      <c r="L90" s="118"/>
      <c r="M90" s="117"/>
      <c r="N90" s="117"/>
    </row>
    <row r="91" spans="1:14" ht="45" x14ac:dyDescent="0.3">
      <c r="A91" s="117" t="s">
        <v>17</v>
      </c>
      <c r="B91" s="117" t="str">
        <f>A91&amp;"-"&amp;TEXT(COUNTIF($A$4:$A91, A91), "000")</f>
        <v>DAR-002</v>
      </c>
      <c r="C91" s="117" t="s">
        <v>432</v>
      </c>
      <c r="D91" s="117" t="str">
        <f t="shared" si="3"/>
        <v xml:space="preserve"> 데이터 표준 수립 및 상위표준 준수</v>
      </c>
      <c r="E91" s="110" t="s">
        <v>141</v>
      </c>
      <c r="F91" s="110" t="s">
        <v>645</v>
      </c>
      <c r="G91" s="110" t="s">
        <v>132</v>
      </c>
      <c r="H91" s="130" t="s">
        <v>647</v>
      </c>
      <c r="I91" s="110" t="s">
        <v>765</v>
      </c>
      <c r="J91" s="131" t="s">
        <v>649</v>
      </c>
      <c r="K91" s="118"/>
      <c r="L91" s="118"/>
      <c r="M91" s="117"/>
      <c r="N91" s="117"/>
    </row>
    <row r="92" spans="1:14" ht="105" x14ac:dyDescent="0.3">
      <c r="A92" s="117" t="s">
        <v>17</v>
      </c>
      <c r="B92" s="117" t="str">
        <f>A92&amp;"-"&amp;TEXT(COUNTIF($A$4:$A92, A92), "000")</f>
        <v>DAR-003</v>
      </c>
      <c r="C92" s="117" t="s">
        <v>437</v>
      </c>
      <c r="D92" s="117" t="str">
        <f t="shared" si="3"/>
        <v xml:space="preserve"> 데이터 구조 검증</v>
      </c>
      <c r="E92" s="110" t="s">
        <v>141</v>
      </c>
      <c r="F92" s="110" t="s">
        <v>651</v>
      </c>
      <c r="G92" s="110" t="s">
        <v>132</v>
      </c>
      <c r="H92" s="130" t="s">
        <v>653</v>
      </c>
      <c r="I92" s="110" t="s">
        <v>766</v>
      </c>
      <c r="J92" s="131" t="s">
        <v>1166</v>
      </c>
      <c r="K92" s="118"/>
      <c r="L92" s="118"/>
      <c r="M92" s="117"/>
      <c r="N92" s="117"/>
    </row>
    <row r="93" spans="1:14" ht="120" x14ac:dyDescent="0.3">
      <c r="A93" s="117" t="s">
        <v>17</v>
      </c>
      <c r="B93" s="117" t="str">
        <f>A93&amp;"-"&amp;TEXT(COUNTIF($A$4:$A93, A93), "000")</f>
        <v>DAR-004</v>
      </c>
      <c r="C93" s="117" t="s">
        <v>434</v>
      </c>
      <c r="D93" s="117" t="str">
        <f t="shared" si="3"/>
        <v xml:space="preserve"> 데이터 표준관리</v>
      </c>
      <c r="E93" s="110" t="s">
        <v>141</v>
      </c>
      <c r="F93" s="110" t="s">
        <v>655</v>
      </c>
      <c r="G93" s="110" t="s">
        <v>132</v>
      </c>
      <c r="H93" s="130" t="s">
        <v>657</v>
      </c>
      <c r="I93" s="110" t="s">
        <v>767</v>
      </c>
      <c r="J93" s="131" t="s">
        <v>1167</v>
      </c>
      <c r="K93" s="118"/>
      <c r="L93" s="118"/>
      <c r="M93" s="117"/>
      <c r="N93" s="117"/>
    </row>
    <row r="94" spans="1:14" ht="45" x14ac:dyDescent="0.3">
      <c r="A94" s="117" t="s">
        <v>17</v>
      </c>
      <c r="B94" s="117" t="str">
        <f>A94&amp;"-"&amp;TEXT(COUNTIF($A$4:$A94, A94), "000")</f>
        <v>DAR-005</v>
      </c>
      <c r="C94" s="117" t="s">
        <v>434</v>
      </c>
      <c r="D94" s="117" t="str">
        <f t="shared" si="3"/>
        <v xml:space="preserve"> 데이터 표준관리</v>
      </c>
      <c r="E94" s="110" t="s">
        <v>141</v>
      </c>
      <c r="F94" s="110" t="s">
        <v>659</v>
      </c>
      <c r="G94" s="110" t="s">
        <v>132</v>
      </c>
      <c r="H94" s="130" t="s">
        <v>661</v>
      </c>
      <c r="I94" s="110" t="s">
        <v>768</v>
      </c>
      <c r="J94" s="131" t="s">
        <v>663</v>
      </c>
      <c r="K94" s="118"/>
      <c r="L94" s="118"/>
      <c r="M94" s="117"/>
      <c r="N94" s="117"/>
    </row>
    <row r="95" spans="1:14" ht="150" x14ac:dyDescent="0.3">
      <c r="A95" s="117" t="s">
        <v>17</v>
      </c>
      <c r="B95" s="117" t="str">
        <f>A95&amp;"-"&amp;TEXT(COUNTIF($A$4:$A95, A95), "000")</f>
        <v>DAR-006</v>
      </c>
      <c r="C95" s="117"/>
      <c r="D95" s="117" t="str">
        <f t="shared" si="3"/>
        <v/>
      </c>
      <c r="E95" s="110" t="s">
        <v>141</v>
      </c>
      <c r="F95" s="110" t="s">
        <v>665</v>
      </c>
      <c r="G95" s="110" t="s">
        <v>132</v>
      </c>
      <c r="H95" s="130" t="s">
        <v>667</v>
      </c>
      <c r="I95" s="110" t="s">
        <v>769</v>
      </c>
      <c r="J95" s="131" t="s">
        <v>1168</v>
      </c>
      <c r="K95" s="118"/>
      <c r="L95" s="118"/>
      <c r="M95" s="117"/>
      <c r="N95" s="117"/>
    </row>
    <row r="96" spans="1:14" ht="225" x14ac:dyDescent="0.3">
      <c r="A96" s="117" t="s">
        <v>17</v>
      </c>
      <c r="B96" s="117" t="str">
        <f>A96&amp;"-"&amp;TEXT(COUNTIF($A$4:$A96, A96), "000")</f>
        <v>DAR-007</v>
      </c>
      <c r="C96" s="117"/>
      <c r="D96" s="117" t="str">
        <f t="shared" si="3"/>
        <v/>
      </c>
      <c r="E96" s="110" t="s">
        <v>141</v>
      </c>
      <c r="F96" s="110" t="s">
        <v>669</v>
      </c>
      <c r="G96" s="110" t="s">
        <v>132</v>
      </c>
      <c r="H96" s="130" t="s">
        <v>671</v>
      </c>
      <c r="I96" s="110" t="s">
        <v>1169</v>
      </c>
      <c r="J96" s="131" t="s">
        <v>1170</v>
      </c>
      <c r="K96" s="118"/>
      <c r="L96" s="118"/>
      <c r="M96" s="117"/>
      <c r="N96" s="117"/>
    </row>
    <row r="97" spans="1:14" ht="180" x14ac:dyDescent="0.3">
      <c r="A97" s="117" t="s">
        <v>17</v>
      </c>
      <c r="B97" s="117" t="str">
        <f>A97&amp;"-"&amp;TEXT(COUNTIF($A$4:$A97, A97), "000")</f>
        <v>DAR-008</v>
      </c>
      <c r="C97" s="117"/>
      <c r="D97" s="117" t="str">
        <f t="shared" si="3"/>
        <v/>
      </c>
      <c r="E97" s="110" t="s">
        <v>141</v>
      </c>
      <c r="F97" s="110" t="s">
        <v>673</v>
      </c>
      <c r="G97" s="110" t="s">
        <v>132</v>
      </c>
      <c r="H97" s="130" t="s">
        <v>673</v>
      </c>
      <c r="I97" s="110" t="s">
        <v>770</v>
      </c>
      <c r="J97" s="131" t="s">
        <v>675</v>
      </c>
      <c r="K97" s="118"/>
      <c r="L97" s="118"/>
      <c r="M97" s="117"/>
      <c r="N97" s="117"/>
    </row>
    <row r="98" spans="1:14" ht="90" x14ac:dyDescent="0.3">
      <c r="A98" s="117" t="s">
        <v>17</v>
      </c>
      <c r="B98" s="117" t="str">
        <f>A98&amp;"-"&amp;TEXT(COUNTIF($A$4:$A98, A98), "000")</f>
        <v>DAR-009</v>
      </c>
      <c r="C98" s="117"/>
      <c r="D98" s="117" t="str">
        <f t="shared" si="3"/>
        <v/>
      </c>
      <c r="E98" s="110" t="s">
        <v>141</v>
      </c>
      <c r="F98" s="110" t="s">
        <v>677</v>
      </c>
      <c r="G98" s="110" t="s">
        <v>132</v>
      </c>
      <c r="H98" s="130" t="s">
        <v>679</v>
      </c>
      <c r="I98" s="110" t="s">
        <v>771</v>
      </c>
      <c r="J98" s="131" t="s">
        <v>1171</v>
      </c>
      <c r="K98" s="118"/>
      <c r="L98" s="118"/>
      <c r="M98" s="117"/>
      <c r="N98" s="117"/>
    </row>
    <row r="99" spans="1:14" ht="150" x14ac:dyDescent="0.3">
      <c r="A99" s="117" t="s">
        <v>17</v>
      </c>
      <c r="B99" s="117" t="str">
        <f>A99&amp;"-"&amp;TEXT(COUNTIF($A$4:$A99, A99), "000")</f>
        <v>DAR-010</v>
      </c>
      <c r="C99" s="117"/>
      <c r="D99" s="117" t="str">
        <f t="shared" si="3"/>
        <v/>
      </c>
      <c r="E99" s="110" t="s">
        <v>141</v>
      </c>
      <c r="F99" s="110" t="s">
        <v>149</v>
      </c>
      <c r="G99" s="110" t="s">
        <v>132</v>
      </c>
      <c r="H99" s="110" t="s">
        <v>213</v>
      </c>
      <c r="I99" s="110" t="s">
        <v>850</v>
      </c>
      <c r="J99" s="119" t="s">
        <v>150</v>
      </c>
      <c r="K99" s="118"/>
      <c r="L99" s="118"/>
      <c r="M99" s="117"/>
      <c r="N99" s="118"/>
    </row>
    <row r="100" spans="1:14" ht="90" x14ac:dyDescent="0.3">
      <c r="A100" s="117" t="s">
        <v>17</v>
      </c>
      <c r="B100" s="117" t="str">
        <f>A100&amp;"-"&amp;TEXT(COUNTIF($A$4:$A100, A100), "000")</f>
        <v>DAR-011</v>
      </c>
      <c r="C100" s="117"/>
      <c r="D100" s="117" t="str">
        <f t="shared" si="3"/>
        <v/>
      </c>
      <c r="E100" s="110" t="s">
        <v>141</v>
      </c>
      <c r="F100" s="110" t="s">
        <v>151</v>
      </c>
      <c r="G100" s="110" t="s">
        <v>132</v>
      </c>
      <c r="H100" s="110" t="s">
        <v>152</v>
      </c>
      <c r="I100" s="110" t="s">
        <v>214</v>
      </c>
      <c r="J100" s="119" t="s">
        <v>153</v>
      </c>
      <c r="K100" s="118"/>
      <c r="L100" s="118"/>
      <c r="M100" s="117"/>
      <c r="N100" s="117"/>
    </row>
    <row r="101" spans="1:14" ht="90" x14ac:dyDescent="0.3">
      <c r="A101" s="117" t="s">
        <v>17</v>
      </c>
      <c r="B101" s="117" t="str">
        <f>A101&amp;"-"&amp;TEXT(COUNTIF($A$4:$A101, A101), "000")</f>
        <v>DAR-012</v>
      </c>
      <c r="C101" s="117"/>
      <c r="D101" s="117" t="str">
        <f t="shared" si="3"/>
        <v/>
      </c>
      <c r="E101" s="110" t="s">
        <v>141</v>
      </c>
      <c r="F101" s="110" t="s">
        <v>272</v>
      </c>
      <c r="G101" s="110" t="s">
        <v>132</v>
      </c>
      <c r="H101" s="110" t="s">
        <v>272</v>
      </c>
      <c r="I101" s="110" t="s">
        <v>1038</v>
      </c>
      <c r="J101" s="119" t="s">
        <v>153</v>
      </c>
      <c r="K101" s="118"/>
      <c r="L101" s="118"/>
      <c r="M101" s="117"/>
      <c r="N101" s="119"/>
    </row>
    <row r="102" spans="1:14" ht="45" x14ac:dyDescent="0.3">
      <c r="A102" s="117" t="s">
        <v>17</v>
      </c>
      <c r="B102" s="117" t="str">
        <f>A102&amp;"-"&amp;TEXT(COUNTIF($A$4:$A102, A102), "000")</f>
        <v>DAR-013</v>
      </c>
      <c r="C102" s="117"/>
      <c r="D102" s="117" t="str">
        <f t="shared" si="3"/>
        <v/>
      </c>
      <c r="E102" s="110" t="s">
        <v>141</v>
      </c>
      <c r="F102" s="110" t="s">
        <v>154</v>
      </c>
      <c r="G102" s="110" t="s">
        <v>132</v>
      </c>
      <c r="H102" s="110" t="s">
        <v>154</v>
      </c>
      <c r="I102" s="110" t="s">
        <v>273</v>
      </c>
      <c r="J102" s="119"/>
      <c r="K102" s="118"/>
      <c r="L102" s="118"/>
      <c r="M102" s="117"/>
      <c r="N102" s="117"/>
    </row>
    <row r="103" spans="1:14" ht="45" x14ac:dyDescent="0.3">
      <c r="A103" s="117" t="s">
        <v>227</v>
      </c>
      <c r="B103" s="117" t="str">
        <f>A103&amp;"-"&amp;TEXT(COUNTIF($A$4:$A103, A103), "000")</f>
        <v>COR-001</v>
      </c>
      <c r="C103" s="117"/>
      <c r="D103" s="117" t="str">
        <f t="shared" si="3"/>
        <v/>
      </c>
      <c r="E103" s="110" t="s">
        <v>228</v>
      </c>
      <c r="F103" s="110" t="s">
        <v>229</v>
      </c>
      <c r="G103" s="110" t="s">
        <v>132</v>
      </c>
      <c r="H103" s="130" t="s">
        <v>230</v>
      </c>
      <c r="I103" s="110" t="s">
        <v>1172</v>
      </c>
      <c r="J103" s="131"/>
      <c r="K103" s="118"/>
      <c r="L103" s="118"/>
      <c r="M103" s="117"/>
      <c r="N103" s="117"/>
    </row>
    <row r="104" spans="1:14" ht="75" x14ac:dyDescent="0.3">
      <c r="A104" s="117" t="s">
        <v>227</v>
      </c>
      <c r="B104" s="117" t="str">
        <f>A104&amp;"-"&amp;TEXT(COUNTIF($A$4:$A104, A104), "000")</f>
        <v>COR-002</v>
      </c>
      <c r="C104" s="117"/>
      <c r="D104" s="117" t="str">
        <f t="shared" si="3"/>
        <v/>
      </c>
      <c r="E104" s="110" t="s">
        <v>228</v>
      </c>
      <c r="F104" s="110" t="s">
        <v>231</v>
      </c>
      <c r="G104" s="110" t="s">
        <v>132</v>
      </c>
      <c r="H104" s="130" t="s">
        <v>232</v>
      </c>
      <c r="I104" s="110" t="s">
        <v>592</v>
      </c>
      <c r="J104" s="131"/>
      <c r="K104" s="118"/>
      <c r="L104" s="118"/>
      <c r="M104" s="117"/>
      <c r="N104" s="117"/>
    </row>
    <row r="105" spans="1:14" ht="120" x14ac:dyDescent="0.3">
      <c r="A105" s="117" t="s">
        <v>227</v>
      </c>
      <c r="B105" s="117" t="str">
        <f>A105&amp;"-"&amp;TEXT(COUNTIF($A$4:$A105, A105), "000")</f>
        <v>COR-003</v>
      </c>
      <c r="C105" s="117"/>
      <c r="D105" s="117" t="str">
        <f t="shared" si="3"/>
        <v/>
      </c>
      <c r="E105" s="110" t="s">
        <v>228</v>
      </c>
      <c r="F105" s="110" t="s">
        <v>233</v>
      </c>
      <c r="G105" s="110" t="s">
        <v>132</v>
      </c>
      <c r="H105" s="130" t="s">
        <v>233</v>
      </c>
      <c r="I105" s="110" t="s">
        <v>593</v>
      </c>
      <c r="J105" s="131"/>
      <c r="K105" s="118"/>
      <c r="L105" s="118"/>
      <c r="M105" s="117"/>
      <c r="N105" s="117"/>
    </row>
    <row r="106" spans="1:14" ht="165" x14ac:dyDescent="0.3">
      <c r="A106" s="117" t="s">
        <v>227</v>
      </c>
      <c r="B106" s="117" t="str">
        <f>A106&amp;"-"&amp;TEXT(COUNTIF($A$4:$A106, A106), "000")</f>
        <v>COR-004</v>
      </c>
      <c r="C106" s="117"/>
      <c r="D106" s="117" t="str">
        <f t="shared" si="3"/>
        <v/>
      </c>
      <c r="E106" s="110" t="s">
        <v>228</v>
      </c>
      <c r="F106" s="110" t="s">
        <v>234</v>
      </c>
      <c r="G106" s="110" t="s">
        <v>132</v>
      </c>
      <c r="H106" s="130" t="s">
        <v>235</v>
      </c>
      <c r="I106" s="110" t="s">
        <v>251</v>
      </c>
      <c r="J106" s="131"/>
      <c r="K106" s="118"/>
      <c r="L106" s="118"/>
      <c r="M106" s="117"/>
      <c r="N106" s="117"/>
    </row>
    <row r="107" spans="1:14" ht="180" x14ac:dyDescent="0.3">
      <c r="A107" s="117" t="s">
        <v>227</v>
      </c>
      <c r="B107" s="117" t="str">
        <f>A107&amp;"-"&amp;TEXT(COUNTIF($A$4:$A107, A107), "000")</f>
        <v>COR-005</v>
      </c>
      <c r="C107" s="117"/>
      <c r="D107" s="117" t="str">
        <f t="shared" si="3"/>
        <v/>
      </c>
      <c r="E107" s="110" t="s">
        <v>228</v>
      </c>
      <c r="F107" s="110" t="s">
        <v>236</v>
      </c>
      <c r="G107" s="110" t="s">
        <v>132</v>
      </c>
      <c r="H107" s="110" t="s">
        <v>237</v>
      </c>
      <c r="I107" s="132" t="s">
        <v>241</v>
      </c>
      <c r="J107" s="119" t="s">
        <v>884</v>
      </c>
      <c r="K107" s="118"/>
      <c r="L107" s="118"/>
      <c r="M107" s="117"/>
      <c r="N107" s="117"/>
    </row>
    <row r="108" spans="1:14" ht="45" x14ac:dyDescent="0.3">
      <c r="A108" s="117" t="s">
        <v>227</v>
      </c>
      <c r="B108" s="117" t="str">
        <f>A108&amp;"-"&amp;TEXT(COUNTIF($A$4:$A108, A108), "000")</f>
        <v>COR-006</v>
      </c>
      <c r="C108" s="117"/>
      <c r="D108" s="117" t="str">
        <f t="shared" si="3"/>
        <v/>
      </c>
      <c r="E108" s="110" t="s">
        <v>228</v>
      </c>
      <c r="F108" s="110" t="s">
        <v>238</v>
      </c>
      <c r="G108" s="110" t="s">
        <v>132</v>
      </c>
      <c r="H108" s="110" t="s">
        <v>239</v>
      </c>
      <c r="I108" s="110" t="s">
        <v>252</v>
      </c>
      <c r="J108" s="119"/>
      <c r="K108" s="118"/>
      <c r="L108" s="118"/>
      <c r="M108" s="117"/>
      <c r="N108" s="117"/>
    </row>
    <row r="109" spans="1:14" ht="90" x14ac:dyDescent="0.3">
      <c r="A109" s="117" t="s">
        <v>227</v>
      </c>
      <c r="B109" s="117" t="str">
        <f>A109&amp;"-"&amp;TEXT(COUNTIF($A$4:$A109, A109), "000")</f>
        <v>COR-007</v>
      </c>
      <c r="C109" s="117"/>
      <c r="D109" s="117" t="str">
        <f t="shared" si="3"/>
        <v/>
      </c>
      <c r="E109" s="110" t="s">
        <v>228</v>
      </c>
      <c r="F109" s="110" t="s">
        <v>240</v>
      </c>
      <c r="G109" s="110" t="s">
        <v>132</v>
      </c>
      <c r="H109" s="110" t="s">
        <v>239</v>
      </c>
      <c r="I109" s="110" t="s">
        <v>253</v>
      </c>
      <c r="J109" s="119"/>
      <c r="K109" s="118"/>
      <c r="L109" s="118"/>
      <c r="M109" s="117"/>
      <c r="N109" s="117"/>
    </row>
    <row r="110" spans="1:14" ht="45" x14ac:dyDescent="0.3">
      <c r="A110" s="117" t="s">
        <v>124</v>
      </c>
      <c r="B110" s="117" t="str">
        <f>A110&amp;"-"&amp;TEXT(COUNTIF($A$4:$A110, A110), "000")</f>
        <v>PER-001</v>
      </c>
      <c r="C110" s="117"/>
      <c r="D110" s="117" t="str">
        <f t="shared" si="3"/>
        <v/>
      </c>
      <c r="E110" s="110" t="s">
        <v>52</v>
      </c>
      <c r="F110" s="110" t="s">
        <v>125</v>
      </c>
      <c r="G110" s="110" t="s">
        <v>132</v>
      </c>
      <c r="H110" s="110" t="s">
        <v>125</v>
      </c>
      <c r="I110" s="110" t="s">
        <v>851</v>
      </c>
      <c r="J110" s="119"/>
      <c r="K110" s="118"/>
      <c r="L110" s="118"/>
      <c r="M110" s="117"/>
      <c r="N110" s="117"/>
    </row>
    <row r="111" spans="1:14" ht="30" x14ac:dyDescent="0.3">
      <c r="A111" s="117" t="s">
        <v>8</v>
      </c>
      <c r="B111" s="117" t="str">
        <f>A111&amp;"-"&amp;TEXT(COUNTIF($A$4:$A111, A111), "000")</f>
        <v>PER-002</v>
      </c>
      <c r="C111" s="117"/>
      <c r="D111" s="117" t="str">
        <f t="shared" si="3"/>
        <v/>
      </c>
      <c r="E111" s="110" t="s">
        <v>52</v>
      </c>
      <c r="F111" s="110" t="s">
        <v>133</v>
      </c>
      <c r="G111" s="110" t="s">
        <v>132</v>
      </c>
      <c r="H111" s="110" t="s">
        <v>133</v>
      </c>
      <c r="I111" s="110" t="s">
        <v>852</v>
      </c>
      <c r="J111" s="119"/>
      <c r="K111" s="118"/>
      <c r="L111" s="118"/>
      <c r="M111" s="117"/>
      <c r="N111" s="117"/>
    </row>
    <row r="112" spans="1:14" ht="45" x14ac:dyDescent="0.3">
      <c r="A112" s="117" t="s">
        <v>8</v>
      </c>
      <c r="B112" s="117" t="str">
        <f>A112&amp;"-"&amp;TEXT(COUNTIF($A$4:$A112, A112), "000")</f>
        <v>PER-003</v>
      </c>
      <c r="C112" s="117"/>
      <c r="D112" s="117" t="str">
        <f t="shared" si="3"/>
        <v/>
      </c>
      <c r="E112" s="110" t="s">
        <v>52</v>
      </c>
      <c r="F112" s="110" t="s">
        <v>134</v>
      </c>
      <c r="G112" s="110" t="s">
        <v>132</v>
      </c>
      <c r="H112" s="110" t="s">
        <v>134</v>
      </c>
      <c r="I112" s="110" t="s">
        <v>853</v>
      </c>
      <c r="J112" s="119"/>
      <c r="K112" s="118"/>
      <c r="L112" s="118"/>
      <c r="M112" s="117"/>
      <c r="N112" s="117"/>
    </row>
    <row r="113" spans="1:14" ht="30" x14ac:dyDescent="0.3">
      <c r="A113" s="117" t="s">
        <v>8</v>
      </c>
      <c r="B113" s="117" t="str">
        <f>A113&amp;"-"&amp;TEXT(COUNTIF($A$4:$A113, A113), "000")</f>
        <v>PER-004</v>
      </c>
      <c r="C113" s="117"/>
      <c r="D113" s="117" t="str">
        <f t="shared" si="3"/>
        <v/>
      </c>
      <c r="E113" s="110" t="s">
        <v>52</v>
      </c>
      <c r="F113" s="110" t="s">
        <v>135</v>
      </c>
      <c r="G113" s="110" t="s">
        <v>132</v>
      </c>
      <c r="H113" s="110" t="s">
        <v>135</v>
      </c>
      <c r="I113" s="110" t="s">
        <v>854</v>
      </c>
      <c r="J113" s="119"/>
      <c r="K113" s="118"/>
      <c r="L113" s="118"/>
      <c r="M113" s="117"/>
      <c r="N113" s="117"/>
    </row>
    <row r="114" spans="1:14" ht="165" x14ac:dyDescent="0.3">
      <c r="A114" s="117" t="s">
        <v>170</v>
      </c>
      <c r="B114" s="117" t="str">
        <f>A114&amp;"-"&amp;TEXT(COUNTIF($A$4:$A114, A114), "000")</f>
        <v>QUR-001</v>
      </c>
      <c r="C114" s="117"/>
      <c r="D114" s="117"/>
      <c r="E114" s="110" t="s">
        <v>144</v>
      </c>
      <c r="F114" s="110" t="s">
        <v>204</v>
      </c>
      <c r="G114" s="110" t="s">
        <v>132</v>
      </c>
      <c r="H114" s="110" t="s">
        <v>205</v>
      </c>
      <c r="I114" s="110" t="s">
        <v>889</v>
      </c>
      <c r="J114" s="119" t="s">
        <v>890</v>
      </c>
      <c r="K114" s="118"/>
      <c r="L114" s="118"/>
      <c r="M114" s="117"/>
      <c r="N114" s="117"/>
    </row>
    <row r="115" spans="1:14" ht="90" x14ac:dyDescent="0.3">
      <c r="A115" s="117" t="s">
        <v>170</v>
      </c>
      <c r="B115" s="117" t="str">
        <f>A115&amp;"-"&amp;TEXT(COUNTIF($A$4:$A115, A115), "000")</f>
        <v>QUR-002</v>
      </c>
      <c r="C115" s="117"/>
      <c r="D115" s="117"/>
      <c r="E115" s="110" t="s">
        <v>144</v>
      </c>
      <c r="F115" s="110" t="s">
        <v>171</v>
      </c>
      <c r="G115" s="110" t="s">
        <v>132</v>
      </c>
      <c r="H115" s="110" t="s">
        <v>172</v>
      </c>
      <c r="I115" s="110" t="s">
        <v>855</v>
      </c>
      <c r="J115" s="119"/>
      <c r="K115" s="118"/>
      <c r="L115" s="118"/>
      <c r="M115" s="117"/>
      <c r="N115" s="117"/>
    </row>
    <row r="116" spans="1:14" ht="60" x14ac:dyDescent="0.3">
      <c r="A116" s="117" t="s">
        <v>170</v>
      </c>
      <c r="B116" s="117" t="str">
        <f>A116&amp;"-"&amp;TEXT(COUNTIF($A$4:$A116, A116), "000")</f>
        <v>QUR-003</v>
      </c>
      <c r="C116" s="117"/>
      <c r="D116" s="117"/>
      <c r="E116" s="110" t="s">
        <v>144</v>
      </c>
      <c r="F116" s="110" t="s">
        <v>181</v>
      </c>
      <c r="G116" s="110" t="s">
        <v>132</v>
      </c>
      <c r="H116" s="110" t="s">
        <v>182</v>
      </c>
      <c r="I116" s="110" t="s">
        <v>856</v>
      </c>
      <c r="J116" s="119"/>
      <c r="K116" s="118"/>
      <c r="L116" s="118"/>
      <c r="M116" s="117"/>
      <c r="N116" s="117"/>
    </row>
    <row r="117" spans="1:14" ht="45" x14ac:dyDescent="0.3">
      <c r="A117" s="117" t="s">
        <v>170</v>
      </c>
      <c r="B117" s="117" t="str">
        <f>A117&amp;"-"&amp;TEXT(COUNTIF($A$4:$A117, A117), "000")</f>
        <v>QUR-004</v>
      </c>
      <c r="C117" s="117"/>
      <c r="D117" s="117"/>
      <c r="E117" s="110" t="s">
        <v>144</v>
      </c>
      <c r="F117" s="110" t="s">
        <v>183</v>
      </c>
      <c r="G117" s="110" t="s">
        <v>132</v>
      </c>
      <c r="H117" s="110" t="s">
        <v>184</v>
      </c>
      <c r="I117" s="110" t="s">
        <v>888</v>
      </c>
      <c r="J117" s="119"/>
      <c r="K117" s="118"/>
      <c r="L117" s="118"/>
      <c r="M117" s="117"/>
      <c r="N117" s="117"/>
    </row>
    <row r="118" spans="1:14" ht="345" x14ac:dyDescent="0.3">
      <c r="A118" s="117" t="s">
        <v>139</v>
      </c>
      <c r="B118" s="117" t="str">
        <f>A118&amp;"-"&amp;TEXT(COUNTIF($A$4:$A118, A118), "000")</f>
        <v>INR-001</v>
      </c>
      <c r="C118" s="117"/>
      <c r="D118" s="117"/>
      <c r="E118" s="110" t="s">
        <v>242</v>
      </c>
      <c r="F118" s="110" t="s">
        <v>96</v>
      </c>
      <c r="G118" s="110" t="s">
        <v>132</v>
      </c>
      <c r="H118" s="110" t="s">
        <v>97</v>
      </c>
      <c r="I118" s="110" t="s">
        <v>1173</v>
      </c>
      <c r="J118" s="119" t="s">
        <v>885</v>
      </c>
      <c r="K118" s="118"/>
      <c r="L118" s="118"/>
      <c r="M118" s="117"/>
      <c r="N118" s="118" t="s">
        <v>722</v>
      </c>
    </row>
    <row r="119" spans="1:14" ht="45" x14ac:dyDescent="0.3">
      <c r="A119" s="117" t="s">
        <v>139</v>
      </c>
      <c r="B119" s="117" t="str">
        <f>A119&amp;"-"&amp;TEXT(COUNTIF($A$4:$A119, A119), "000")</f>
        <v>INR-002</v>
      </c>
      <c r="C119" s="117"/>
      <c r="D119" s="117" t="str">
        <f>IFERROR(VLOOKUP(C119,B:F,5,0),"")</f>
        <v/>
      </c>
      <c r="E119" s="110" t="s">
        <v>140</v>
      </c>
      <c r="F119" s="110" t="s">
        <v>217</v>
      </c>
      <c r="G119" s="110" t="s">
        <v>132</v>
      </c>
      <c r="H119" s="110" t="s">
        <v>217</v>
      </c>
      <c r="I119" s="110" t="s">
        <v>1174</v>
      </c>
      <c r="J119" s="119"/>
      <c r="K119" s="118"/>
      <c r="L119" s="118"/>
      <c r="M119" s="117"/>
      <c r="N119" s="118"/>
    </row>
    <row r="120" spans="1:14" ht="105" x14ac:dyDescent="0.3">
      <c r="A120" s="117" t="s">
        <v>158</v>
      </c>
      <c r="B120" s="117" t="str">
        <f>A120&amp;"-"&amp;TEXT(COUNTIF($A$4:$A120, A120), "000")</f>
        <v>TER-001</v>
      </c>
      <c r="C120" s="117"/>
      <c r="D120" s="117" t="str">
        <f>IFERROR(VLOOKUP(C120,B:F,5,0),"")</f>
        <v/>
      </c>
      <c r="E120" s="110" t="s">
        <v>142</v>
      </c>
      <c r="F120" s="110" t="s">
        <v>159</v>
      </c>
      <c r="G120" s="110" t="s">
        <v>132</v>
      </c>
      <c r="H120" s="110" t="s">
        <v>210</v>
      </c>
      <c r="I120" s="110" t="s">
        <v>857</v>
      </c>
      <c r="J120" s="119" t="s">
        <v>211</v>
      </c>
      <c r="K120" s="118"/>
      <c r="L120" s="118"/>
      <c r="M120" s="117"/>
      <c r="N120" s="117"/>
    </row>
    <row r="121" spans="1:14" ht="60" x14ac:dyDescent="0.3">
      <c r="A121" s="117" t="s">
        <v>158</v>
      </c>
      <c r="B121" s="117" t="str">
        <f>A121&amp;"-"&amp;TEXT(COUNTIF($A$4:$A121, A121), "000")</f>
        <v>TER-002</v>
      </c>
      <c r="C121" s="117"/>
      <c r="D121" s="117" t="str">
        <f>IFERROR(VLOOKUP(C121,B:F,5,0),"")</f>
        <v/>
      </c>
      <c r="E121" s="110" t="s">
        <v>142</v>
      </c>
      <c r="F121" s="110" t="s">
        <v>160</v>
      </c>
      <c r="G121" s="110" t="s">
        <v>132</v>
      </c>
      <c r="H121" s="110" t="s">
        <v>161</v>
      </c>
      <c r="I121" s="110" t="s">
        <v>162</v>
      </c>
      <c r="J121" s="119" t="s">
        <v>212</v>
      </c>
      <c r="K121" s="118"/>
      <c r="L121" s="118"/>
      <c r="M121" s="117"/>
      <c r="N121" s="117"/>
    </row>
    <row r="122" spans="1:14" ht="240" x14ac:dyDescent="0.3">
      <c r="A122" s="117" t="s">
        <v>186</v>
      </c>
      <c r="B122" s="117" t="str">
        <f>A122&amp;"-"&amp;TEXT(COUNTIF($A$4:$A122, A122), "000")</f>
        <v>PMR-001</v>
      </c>
      <c r="C122" s="117"/>
      <c r="D122" s="117"/>
      <c r="E122" s="110" t="s">
        <v>221</v>
      </c>
      <c r="F122" s="110" t="s">
        <v>193</v>
      </c>
      <c r="G122" s="110" t="s">
        <v>132</v>
      </c>
      <c r="H122" s="110" t="s">
        <v>192</v>
      </c>
      <c r="I122" s="110" t="s">
        <v>858</v>
      </c>
      <c r="J122" s="119" t="s">
        <v>1044</v>
      </c>
      <c r="K122" s="118"/>
      <c r="L122" s="118"/>
      <c r="M122" s="117"/>
      <c r="N122" s="117"/>
    </row>
    <row r="123" spans="1:14" ht="30" x14ac:dyDescent="0.3">
      <c r="A123" s="117" t="s">
        <v>186</v>
      </c>
      <c r="B123" s="117" t="str">
        <f>A123&amp;"-"&amp;TEXT(COUNTIF($A$4:$A123, A123), "000")</f>
        <v>PMR-002</v>
      </c>
      <c r="C123" s="117"/>
      <c r="D123" s="117"/>
      <c r="E123" s="110" t="s">
        <v>221</v>
      </c>
      <c r="F123" s="110" t="s">
        <v>197</v>
      </c>
      <c r="G123" s="110" t="s">
        <v>132</v>
      </c>
      <c r="H123" s="110" t="s">
        <v>197</v>
      </c>
      <c r="I123" s="110" t="s">
        <v>200</v>
      </c>
      <c r="J123" s="119"/>
      <c r="K123" s="118"/>
      <c r="L123" s="118"/>
      <c r="M123" s="117"/>
      <c r="N123" s="117"/>
    </row>
    <row r="124" spans="1:14" ht="30" x14ac:dyDescent="0.3">
      <c r="A124" s="117" t="s">
        <v>186</v>
      </c>
      <c r="B124" s="117" t="str">
        <f>A124&amp;"-"&amp;TEXT(COUNTIF($A$4:$A124, A124), "000")</f>
        <v>PMR-003</v>
      </c>
      <c r="C124" s="117"/>
      <c r="D124" s="117"/>
      <c r="E124" s="110" t="s">
        <v>221</v>
      </c>
      <c r="F124" s="110" t="s">
        <v>198</v>
      </c>
      <c r="G124" s="110" t="s">
        <v>132</v>
      </c>
      <c r="H124" s="110" t="s">
        <v>198</v>
      </c>
      <c r="I124" s="110" t="s">
        <v>201</v>
      </c>
      <c r="J124" s="119"/>
      <c r="K124" s="118"/>
      <c r="L124" s="118"/>
      <c r="M124" s="117"/>
      <c r="N124" s="117"/>
    </row>
    <row r="125" spans="1:14" ht="120" x14ac:dyDescent="0.3">
      <c r="A125" s="117" t="s">
        <v>186</v>
      </c>
      <c r="B125" s="117" t="str">
        <f>A125&amp;"-"&amp;TEXT(COUNTIF($A$4:$A125, A125), "000")</f>
        <v>PMR-004</v>
      </c>
      <c r="C125" s="117"/>
      <c r="D125" s="117"/>
      <c r="E125" s="110" t="s">
        <v>246</v>
      </c>
      <c r="F125" s="110" t="s">
        <v>195</v>
      </c>
      <c r="G125" s="110" t="s">
        <v>132</v>
      </c>
      <c r="H125" s="110" t="s">
        <v>190</v>
      </c>
      <c r="I125" s="110" t="s">
        <v>870</v>
      </c>
      <c r="J125" s="119" t="s">
        <v>1179</v>
      </c>
      <c r="K125" s="118"/>
      <c r="L125" s="118"/>
      <c r="M125" s="117"/>
      <c r="N125" s="117"/>
    </row>
    <row r="126" spans="1:14" ht="90" x14ac:dyDescent="0.3">
      <c r="A126" s="117" t="s">
        <v>186</v>
      </c>
      <c r="B126" s="117" t="str">
        <f>A126&amp;"-"&amp;TEXT(COUNTIF($A$4:$A126, A126), "000")</f>
        <v>PMR-005</v>
      </c>
      <c r="C126" s="117"/>
      <c r="D126" s="117"/>
      <c r="E126" s="110" t="s">
        <v>246</v>
      </c>
      <c r="F126" s="110" t="s">
        <v>196</v>
      </c>
      <c r="G126" s="110" t="s">
        <v>132</v>
      </c>
      <c r="H126" s="110" t="s">
        <v>196</v>
      </c>
      <c r="I126" s="110" t="s">
        <v>199</v>
      </c>
      <c r="J126" s="119" t="s">
        <v>900</v>
      </c>
      <c r="K126" s="118"/>
      <c r="L126" s="118"/>
      <c r="M126" s="117"/>
      <c r="N126" s="117"/>
    </row>
    <row r="127" spans="1:14" ht="135" x14ac:dyDescent="0.3">
      <c r="A127" s="117" t="s">
        <v>186</v>
      </c>
      <c r="B127" s="117" t="str">
        <f>A127&amp;"-"&amp;TEXT(COUNTIF($A$4:$A127, A127), "000")</f>
        <v>PMR-006</v>
      </c>
      <c r="C127" s="117"/>
      <c r="D127" s="117"/>
      <c r="E127" s="110" t="s">
        <v>245</v>
      </c>
      <c r="F127" s="110" t="s">
        <v>243</v>
      </c>
      <c r="G127" s="110" t="s">
        <v>132</v>
      </c>
      <c r="H127" s="110" t="s">
        <v>244</v>
      </c>
      <c r="I127" s="110" t="s">
        <v>615</v>
      </c>
      <c r="J127" s="119"/>
      <c r="K127" s="118"/>
      <c r="L127" s="118"/>
      <c r="M127" s="117"/>
      <c r="N127" s="117"/>
    </row>
    <row r="128" spans="1:14" ht="165" x14ac:dyDescent="0.3">
      <c r="A128" s="117" t="s">
        <v>186</v>
      </c>
      <c r="B128" s="117" t="str">
        <f>A128&amp;"-"&amp;TEXT(COUNTIF($A$4:$A128, A128), "000")</f>
        <v>PMR-007</v>
      </c>
      <c r="C128" s="117"/>
      <c r="D128" s="117"/>
      <c r="E128" s="110" t="s">
        <v>220</v>
      </c>
      <c r="F128" s="110" t="s">
        <v>194</v>
      </c>
      <c r="G128" s="110" t="s">
        <v>132</v>
      </c>
      <c r="H128" s="110" t="s">
        <v>191</v>
      </c>
      <c r="I128" s="110" t="s">
        <v>1030</v>
      </c>
      <c r="J128" s="119" t="s">
        <v>893</v>
      </c>
      <c r="K128" s="118"/>
      <c r="L128" s="118"/>
      <c r="M128" s="117"/>
      <c r="N128" s="117"/>
    </row>
    <row r="129" spans="1:14" ht="45" x14ac:dyDescent="0.3">
      <c r="A129" s="117" t="s">
        <v>186</v>
      </c>
      <c r="B129" s="117" t="str">
        <f>A129&amp;"-"&amp;TEXT(COUNTIF($A$4:$A129, A129), "000")</f>
        <v>PMR-008</v>
      </c>
      <c r="C129" s="117"/>
      <c r="D129" s="117"/>
      <c r="E129" s="110" t="s">
        <v>246</v>
      </c>
      <c r="F129" s="111" t="s">
        <v>267</v>
      </c>
      <c r="G129" s="111" t="s">
        <v>132</v>
      </c>
      <c r="H129" s="111" t="s">
        <v>268</v>
      </c>
      <c r="I129" s="111" t="s">
        <v>1026</v>
      </c>
      <c r="J129" s="119" t="s">
        <v>896</v>
      </c>
      <c r="K129" s="133"/>
      <c r="L129" s="133"/>
      <c r="M129" s="117"/>
      <c r="N129" s="134"/>
    </row>
    <row r="130" spans="1:14" ht="45" x14ac:dyDescent="0.3">
      <c r="A130" s="117" t="s">
        <v>186</v>
      </c>
      <c r="B130" s="117" t="str">
        <f>A130&amp;"-"&amp;TEXT(COUNTIF($A$4:$A130, A130), "000")</f>
        <v>PMR-009</v>
      </c>
      <c r="C130" s="117"/>
      <c r="D130" s="117"/>
      <c r="E130" s="110" t="s">
        <v>293</v>
      </c>
      <c r="F130" s="111" t="s">
        <v>269</v>
      </c>
      <c r="G130" s="111" t="s">
        <v>132</v>
      </c>
      <c r="H130" s="111" t="s">
        <v>292</v>
      </c>
      <c r="I130" s="111" t="s">
        <v>1037</v>
      </c>
      <c r="J130" s="119" t="s">
        <v>886</v>
      </c>
      <c r="K130" s="133"/>
      <c r="L130" s="133"/>
      <c r="M130" s="117"/>
      <c r="N130" s="134"/>
    </row>
    <row r="131" spans="1:14" ht="60" x14ac:dyDescent="0.3">
      <c r="A131" s="117" t="s">
        <v>271</v>
      </c>
      <c r="B131" s="117" t="str">
        <f>A131&amp;"-"&amp;TEXT(COUNTIF($A$4:$A131, A131), "000")</f>
        <v>PMR-010</v>
      </c>
      <c r="C131" s="117"/>
      <c r="D131" s="117"/>
      <c r="E131" s="110" t="s">
        <v>245</v>
      </c>
      <c r="F131" s="111" t="s">
        <v>270</v>
      </c>
      <c r="G131" s="111" t="s">
        <v>132</v>
      </c>
      <c r="H131" s="111" t="s">
        <v>1136</v>
      </c>
      <c r="I131" s="111" t="s">
        <v>1035</v>
      </c>
      <c r="J131" s="134"/>
      <c r="K131" s="133"/>
      <c r="L131" s="133"/>
      <c r="M131" s="117"/>
      <c r="N131" s="134"/>
    </row>
    <row r="132" spans="1:14" ht="60" x14ac:dyDescent="0.3">
      <c r="A132" s="117" t="s">
        <v>185</v>
      </c>
      <c r="B132" s="117" t="str">
        <f>A132&amp;"-"&amp;TEXT(COUNTIF($A$4:$A132, A132), "000")</f>
        <v>PSR-001</v>
      </c>
      <c r="C132" s="117"/>
      <c r="D132" s="117"/>
      <c r="E132" s="110" t="s">
        <v>307</v>
      </c>
      <c r="F132" s="110" t="s">
        <v>249</v>
      </c>
      <c r="G132" s="110" t="s">
        <v>132</v>
      </c>
      <c r="H132" s="110" t="s">
        <v>250</v>
      </c>
      <c r="I132" s="110" t="s">
        <v>1036</v>
      </c>
      <c r="J132" s="119" t="s">
        <v>883</v>
      </c>
      <c r="K132" s="118"/>
      <c r="L132" s="118"/>
      <c r="M132" s="117"/>
      <c r="N132" s="117"/>
    </row>
    <row r="133" spans="1:14" ht="45" x14ac:dyDescent="0.3">
      <c r="A133" s="117" t="s">
        <v>185</v>
      </c>
      <c r="B133" s="117" t="str">
        <f>A133&amp;"-"&amp;TEXT(COUNTIF($A$4:$A133, A133), "000")</f>
        <v>PSR-002</v>
      </c>
      <c r="C133" s="117"/>
      <c r="D133" s="117"/>
      <c r="E133" s="110" t="s">
        <v>254</v>
      </c>
      <c r="F133" s="110" t="s">
        <v>254</v>
      </c>
      <c r="G133" s="110" t="s">
        <v>132</v>
      </c>
      <c r="H133" s="110" t="s">
        <v>262</v>
      </c>
      <c r="I133" s="110" t="s">
        <v>263</v>
      </c>
      <c r="J133" s="119"/>
      <c r="K133" s="118"/>
      <c r="L133" s="118"/>
      <c r="M133" s="117"/>
      <c r="N133" s="117"/>
    </row>
    <row r="134" spans="1:14" ht="90" x14ac:dyDescent="0.3">
      <c r="A134" s="117" t="s">
        <v>185</v>
      </c>
      <c r="B134" s="117" t="str">
        <f>A134&amp;"-"&amp;TEXT(COUNTIF($A$4:$A134, A134), "000")</f>
        <v>PSR-003</v>
      </c>
      <c r="C134" s="117"/>
      <c r="D134" s="117"/>
      <c r="E134" s="110" t="s">
        <v>248</v>
      </c>
      <c r="F134" s="110" t="s">
        <v>188</v>
      </c>
      <c r="G134" s="110" t="s">
        <v>132</v>
      </c>
      <c r="H134" s="110" t="s">
        <v>202</v>
      </c>
      <c r="I134" s="110" t="s">
        <v>859</v>
      </c>
      <c r="J134" s="119" t="s">
        <v>774</v>
      </c>
      <c r="K134" s="118"/>
      <c r="L134" s="118"/>
      <c r="M134" s="117"/>
      <c r="N134" s="117"/>
    </row>
    <row r="135" spans="1:14" ht="105" x14ac:dyDescent="0.3">
      <c r="A135" s="117" t="s">
        <v>185</v>
      </c>
      <c r="B135" s="117" t="str">
        <f>A135&amp;"-"&amp;TEXT(COUNTIF($A$4:$A135, A135), "000")</f>
        <v>PSR-004</v>
      </c>
      <c r="C135" s="117"/>
      <c r="D135" s="117"/>
      <c r="E135" s="110" t="s">
        <v>248</v>
      </c>
      <c r="F135" s="110" t="s">
        <v>189</v>
      </c>
      <c r="G135" s="110" t="s">
        <v>132</v>
      </c>
      <c r="H135" s="110" t="s">
        <v>203</v>
      </c>
      <c r="I135" s="110" t="s">
        <v>898</v>
      </c>
      <c r="J135" s="119" t="s">
        <v>899</v>
      </c>
      <c r="K135" s="118"/>
      <c r="L135" s="118"/>
      <c r="M135" s="117"/>
      <c r="N135" s="117"/>
    </row>
    <row r="136" spans="1:14" ht="330" x14ac:dyDescent="0.3">
      <c r="A136" s="117" t="s">
        <v>185</v>
      </c>
      <c r="B136" s="117" t="str">
        <f>A136&amp;"-"&amp;TEXT(COUNTIF($A$4:$A136, A136), "000")</f>
        <v>PSR-005</v>
      </c>
      <c r="C136" s="117"/>
      <c r="D136" s="117"/>
      <c r="E136" s="110" t="s">
        <v>247</v>
      </c>
      <c r="F136" s="110" t="s">
        <v>187</v>
      </c>
      <c r="G136" s="110" t="s">
        <v>132</v>
      </c>
      <c r="H136" s="110" t="s">
        <v>266</v>
      </c>
      <c r="I136" s="110" t="s">
        <v>1045</v>
      </c>
      <c r="J136" s="119"/>
      <c r="K136" s="118"/>
      <c r="L136" s="118"/>
      <c r="M136" s="117"/>
      <c r="N136" s="117"/>
    </row>
    <row r="137" spans="1:14" ht="120" x14ac:dyDescent="0.3">
      <c r="A137" s="117" t="s">
        <v>185</v>
      </c>
      <c r="B137" s="117" t="str">
        <f>A137&amp;"-"&amp;TEXT(COUNTIF($A$4:$A137, A137), "000")</f>
        <v>PSR-006</v>
      </c>
      <c r="C137" s="117"/>
      <c r="D137" s="117"/>
      <c r="E137" s="110" t="s">
        <v>256</v>
      </c>
      <c r="F137" s="110" t="s">
        <v>257</v>
      </c>
      <c r="G137" s="110" t="s">
        <v>132</v>
      </c>
      <c r="H137" s="110" t="s">
        <v>257</v>
      </c>
      <c r="I137" s="110" t="s">
        <v>627</v>
      </c>
      <c r="J137" s="119"/>
      <c r="K137" s="118"/>
      <c r="L137" s="118"/>
      <c r="M137" s="117"/>
      <c r="N137" s="117"/>
    </row>
    <row r="138" spans="1:14" ht="105" x14ac:dyDescent="0.3">
      <c r="A138" s="117" t="s">
        <v>185</v>
      </c>
      <c r="B138" s="117" t="str">
        <f>A138&amp;"-"&amp;TEXT(COUNTIF($A$4:$A138, A138), "000")</f>
        <v>PSR-007</v>
      </c>
      <c r="C138" s="117"/>
      <c r="D138" s="117"/>
      <c r="E138" s="110" t="s">
        <v>256</v>
      </c>
      <c r="F138" s="110" t="s">
        <v>258</v>
      </c>
      <c r="G138" s="110" t="s">
        <v>132</v>
      </c>
      <c r="H138" s="110" t="s">
        <v>259</v>
      </c>
      <c r="I138" s="110" t="s">
        <v>629</v>
      </c>
      <c r="J138" s="119"/>
      <c r="K138" s="118"/>
      <c r="L138" s="118"/>
      <c r="M138" s="117"/>
      <c r="N138" s="117"/>
    </row>
    <row r="139" spans="1:14" ht="135" x14ac:dyDescent="0.3">
      <c r="A139" s="117" t="s">
        <v>185</v>
      </c>
      <c r="B139" s="117" t="str">
        <f>A139&amp;"-"&amp;TEXT(COUNTIF($A$4:$A139, A139), "000")</f>
        <v>PSR-008</v>
      </c>
      <c r="C139" s="117"/>
      <c r="D139" s="117"/>
      <c r="E139" s="110" t="s">
        <v>256</v>
      </c>
      <c r="F139" s="110" t="s">
        <v>260</v>
      </c>
      <c r="G139" s="110" t="s">
        <v>132</v>
      </c>
      <c r="H139" s="110" t="s">
        <v>261</v>
      </c>
      <c r="I139" s="110" t="s">
        <v>631</v>
      </c>
      <c r="J139" s="119"/>
      <c r="K139" s="118"/>
      <c r="L139" s="118"/>
      <c r="M139" s="117"/>
      <c r="N139" s="117"/>
    </row>
    <row r="140" spans="1:14" ht="69" x14ac:dyDescent="0.3">
      <c r="A140" s="117" t="s">
        <v>185</v>
      </c>
      <c r="B140" s="117" t="str">
        <f>A140&amp;"-"&amp;TEXT(COUNTIF($A$4:$A140, A140), "000")</f>
        <v>PSR-009</v>
      </c>
      <c r="C140" s="117"/>
      <c r="D140" s="117"/>
      <c r="E140" s="110" t="s">
        <v>255</v>
      </c>
      <c r="F140" s="110" t="s">
        <v>264</v>
      </c>
      <c r="G140" s="110" t="s">
        <v>132</v>
      </c>
      <c r="H140" s="110" t="s">
        <v>265</v>
      </c>
      <c r="I140" s="111" t="s">
        <v>276</v>
      </c>
      <c r="J140" s="119"/>
      <c r="K140" s="118"/>
      <c r="L140" s="118"/>
      <c r="M140" s="117"/>
      <c r="N140" s="117"/>
    </row>
    <row r="141" spans="1:14" ht="30" x14ac:dyDescent="0.3">
      <c r="A141" s="117" t="s">
        <v>18</v>
      </c>
      <c r="B141" s="117" t="str">
        <f>A141&amp;"-"&amp;TEXT(COUNTIF($A$4:$A141, A141), "000")</f>
        <v>CNR-001</v>
      </c>
      <c r="C141" s="117"/>
      <c r="D141" s="117" t="str">
        <f>IFERROR(VLOOKUP(C141,B:F,5,0),"")</f>
        <v/>
      </c>
      <c r="E141" s="110" t="s">
        <v>54</v>
      </c>
      <c r="F141" s="110" t="s">
        <v>111</v>
      </c>
      <c r="G141" s="110" t="s">
        <v>132</v>
      </c>
      <c r="H141" s="110" t="s">
        <v>112</v>
      </c>
      <c r="I141" s="110" t="s">
        <v>279</v>
      </c>
      <c r="J141" s="119" t="s">
        <v>887</v>
      </c>
      <c r="K141" s="118"/>
      <c r="L141" s="118"/>
      <c r="M141" s="117"/>
      <c r="N141" s="118"/>
    </row>
    <row r="142" spans="1:14" ht="165" x14ac:dyDescent="0.3">
      <c r="A142" s="117" t="s">
        <v>18</v>
      </c>
      <c r="B142" s="117" t="str">
        <f>A142&amp;"-"&amp;TEXT(COUNTIF($A$4:$A142, A142), "000")</f>
        <v>CNR-002</v>
      </c>
      <c r="C142" s="117"/>
      <c r="D142" s="117" t="str">
        <f>IFERROR(VLOOKUP(C142,B:F,5,0),"")</f>
        <v/>
      </c>
      <c r="E142" s="110" t="s">
        <v>54</v>
      </c>
      <c r="F142" s="110" t="s">
        <v>706</v>
      </c>
      <c r="G142" s="110" t="s">
        <v>132</v>
      </c>
      <c r="H142" s="110" t="s">
        <v>113</v>
      </c>
      <c r="I142" s="110" t="s">
        <v>860</v>
      </c>
      <c r="J142" s="119" t="s">
        <v>116</v>
      </c>
      <c r="K142" s="118"/>
      <c r="L142" s="118"/>
      <c r="M142" s="117"/>
      <c r="N142" s="118"/>
    </row>
    <row r="143" spans="1:14" ht="135" x14ac:dyDescent="0.3">
      <c r="A143" s="117" t="s">
        <v>18</v>
      </c>
      <c r="B143" s="117" t="str">
        <f>A143&amp;"-"&amp;TEXT(COUNTIF($A$4:$A143, A143), "000")</f>
        <v>CNR-003</v>
      </c>
      <c r="C143" s="117"/>
      <c r="D143" s="117" t="str">
        <f>IFERROR(VLOOKUP(C143,B:F,5,0),"")</f>
        <v/>
      </c>
      <c r="E143" s="110" t="s">
        <v>54</v>
      </c>
      <c r="F143" s="110" t="s">
        <v>707</v>
      </c>
      <c r="G143" s="110" t="s">
        <v>132</v>
      </c>
      <c r="H143" s="110" t="s">
        <v>114</v>
      </c>
      <c r="I143" s="110" t="s">
        <v>1021</v>
      </c>
      <c r="J143" s="119" t="s">
        <v>117</v>
      </c>
      <c r="K143" s="118"/>
      <c r="L143" s="118"/>
      <c r="M143" s="117"/>
      <c r="N143" s="117"/>
    </row>
    <row r="144" spans="1:14" ht="75" x14ac:dyDescent="0.3">
      <c r="A144" s="117" t="s">
        <v>18</v>
      </c>
      <c r="B144" s="117" t="str">
        <f>A144&amp;"-"&amp;TEXT(COUNTIF($A$4:$A144, A144), "000")</f>
        <v>CNR-004</v>
      </c>
      <c r="C144" s="117"/>
      <c r="D144" s="117" t="str">
        <f>IFERROR(VLOOKUP(C144,B:F,5,0),"")</f>
        <v/>
      </c>
      <c r="E144" s="110" t="s">
        <v>54</v>
      </c>
      <c r="F144" s="110" t="s">
        <v>708</v>
      </c>
      <c r="G144" s="110" t="s">
        <v>132</v>
      </c>
      <c r="H144" s="110" t="s">
        <v>115</v>
      </c>
      <c r="I144" s="110" t="s">
        <v>1175</v>
      </c>
      <c r="J144" s="119" t="s">
        <v>897</v>
      </c>
      <c r="K144" s="118"/>
      <c r="L144" s="118"/>
      <c r="M144" s="117"/>
      <c r="N144" s="117"/>
    </row>
    <row r="145" spans="1:14" ht="90" x14ac:dyDescent="0.3">
      <c r="A145" s="117" t="s">
        <v>18</v>
      </c>
      <c r="B145" s="117" t="str">
        <f>A145&amp;"-"&amp;TEXT(COUNTIF($A$4:$A145, A145), "000")</f>
        <v>CNR-005</v>
      </c>
      <c r="C145" s="117"/>
      <c r="D145" s="117" t="str">
        <f t="shared" ref="D145" si="4">IFERROR(VLOOKUP(C145,B:F,5,0),"")</f>
        <v/>
      </c>
      <c r="E145" s="110" t="s">
        <v>54</v>
      </c>
      <c r="F145" s="110" t="s">
        <v>725</v>
      </c>
      <c r="G145" s="110" t="s">
        <v>132</v>
      </c>
      <c r="H145" s="110" t="s">
        <v>724</v>
      </c>
      <c r="I145" s="110" t="s">
        <v>754</v>
      </c>
      <c r="J145" s="119" t="s">
        <v>723</v>
      </c>
      <c r="K145" s="118"/>
      <c r="L145" s="118"/>
      <c r="M145" s="117"/>
      <c r="N145" s="118" t="s">
        <v>722</v>
      </c>
    </row>
  </sheetData>
  <autoFilter ref="A2:N145" xr:uid="{00000000-0009-0000-0000-000003000000}">
    <filterColumn colId="0" showButton="0"/>
    <filterColumn colId="1" showButton="0"/>
    <filterColumn colId="2" showButton="0"/>
    <filterColumn colId="10" showButton="0"/>
  </autoFilter>
  <mergeCells count="8">
    <mergeCell ref="N2:N3"/>
    <mergeCell ref="A2:D2"/>
    <mergeCell ref="J2:J3"/>
    <mergeCell ref="G2:G3"/>
    <mergeCell ref="H2:H3"/>
    <mergeCell ref="I2:I3"/>
    <mergeCell ref="K2:L2"/>
    <mergeCell ref="M2:M3"/>
  </mergeCells>
  <phoneticPr fontId="4" type="noConversion"/>
  <pageMargins left="0.7" right="0.7" top="0.75" bottom="0.75" header="0.3" footer="0.3"/>
  <pageSetup paperSize="8" scale="5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65"/>
  <sheetViews>
    <sheetView zoomScale="85" zoomScaleNormal="85" workbookViewId="0">
      <selection activeCell="E29" sqref="E29"/>
    </sheetView>
  </sheetViews>
  <sheetFormatPr defaultRowHeight="16.5" x14ac:dyDescent="0.3"/>
  <cols>
    <col min="1" max="1" width="3.375" customWidth="1"/>
    <col min="2" max="2" width="4.5" style="62" customWidth="1"/>
    <col min="3" max="3" width="12.5" style="62" customWidth="1"/>
    <col min="4" max="4" width="10.5" style="62" customWidth="1"/>
    <col min="5" max="5" width="62.25" style="62" customWidth="1"/>
    <col min="6" max="6" width="23.375" style="63" customWidth="1"/>
    <col min="7" max="7" width="19.75" style="63" customWidth="1"/>
  </cols>
  <sheetData>
    <row r="1" spans="2:7" ht="33.75" x14ac:dyDescent="0.3">
      <c r="B1" s="109" t="s">
        <v>901</v>
      </c>
      <c r="C1" s="109"/>
      <c r="D1" s="109"/>
      <c r="E1" s="109"/>
      <c r="F1" s="109"/>
      <c r="G1" s="109"/>
    </row>
    <row r="2" spans="2:7" ht="34.5" thickBot="1" x14ac:dyDescent="0.35">
      <c r="B2" s="45"/>
      <c r="C2" s="45"/>
      <c r="D2" s="45"/>
      <c r="E2" s="45"/>
      <c r="F2" s="45"/>
      <c r="G2" s="45"/>
    </row>
    <row r="3" spans="2:7" x14ac:dyDescent="0.3">
      <c r="B3" s="46" t="s">
        <v>902</v>
      </c>
      <c r="C3" s="47" t="s">
        <v>903</v>
      </c>
      <c r="D3" s="47" t="s">
        <v>904</v>
      </c>
      <c r="E3" s="47" t="s">
        <v>905</v>
      </c>
      <c r="F3" s="47" t="s">
        <v>906</v>
      </c>
      <c r="G3" s="48" t="s">
        <v>907</v>
      </c>
    </row>
    <row r="4" spans="2:7" x14ac:dyDescent="0.3">
      <c r="B4" s="49">
        <v>1</v>
      </c>
      <c r="C4" s="107" t="s">
        <v>908</v>
      </c>
      <c r="D4" s="107" t="s">
        <v>909</v>
      </c>
      <c r="E4" s="50" t="s">
        <v>910</v>
      </c>
      <c r="F4" s="51" t="s">
        <v>911</v>
      </c>
      <c r="G4" s="52"/>
    </row>
    <row r="5" spans="2:7" x14ac:dyDescent="0.3">
      <c r="B5" s="49">
        <v>2</v>
      </c>
      <c r="C5" s="107"/>
      <c r="D5" s="107"/>
      <c r="E5" s="53" t="s">
        <v>912</v>
      </c>
      <c r="F5" s="51" t="s">
        <v>911</v>
      </c>
      <c r="G5" s="52"/>
    </row>
    <row r="6" spans="2:7" x14ac:dyDescent="0.3">
      <c r="B6" s="49">
        <v>3</v>
      </c>
      <c r="C6" s="107"/>
      <c r="D6" s="107"/>
      <c r="E6" s="53" t="s">
        <v>913</v>
      </c>
      <c r="F6" s="51" t="s">
        <v>914</v>
      </c>
      <c r="G6" s="52"/>
    </row>
    <row r="7" spans="2:7" x14ac:dyDescent="0.3">
      <c r="B7" s="49">
        <v>4</v>
      </c>
      <c r="C7" s="107"/>
      <c r="D7" s="107"/>
      <c r="E7" s="53" t="s">
        <v>915</v>
      </c>
      <c r="F7" s="51" t="s">
        <v>916</v>
      </c>
      <c r="G7" s="52"/>
    </row>
    <row r="8" spans="2:7" x14ac:dyDescent="0.3">
      <c r="B8" s="49">
        <v>5</v>
      </c>
      <c r="C8" s="107"/>
      <c r="D8" s="107" t="s">
        <v>917</v>
      </c>
      <c r="E8" s="53" t="s">
        <v>918</v>
      </c>
      <c r="F8" s="51" t="s">
        <v>919</v>
      </c>
      <c r="G8" s="52"/>
    </row>
    <row r="9" spans="2:7" x14ac:dyDescent="0.3">
      <c r="B9" s="49">
        <v>6</v>
      </c>
      <c r="C9" s="107"/>
      <c r="D9" s="107"/>
      <c r="E9" s="53" t="s">
        <v>920</v>
      </c>
      <c r="F9" s="51" t="s">
        <v>914</v>
      </c>
      <c r="G9" s="52"/>
    </row>
    <row r="10" spans="2:7" x14ac:dyDescent="0.3">
      <c r="B10" s="49">
        <v>7</v>
      </c>
      <c r="C10" s="107"/>
      <c r="D10" s="107"/>
      <c r="E10" s="53" t="s">
        <v>921</v>
      </c>
      <c r="F10" s="51" t="s">
        <v>914</v>
      </c>
      <c r="G10" s="52"/>
    </row>
    <row r="11" spans="2:7" x14ac:dyDescent="0.3">
      <c r="B11" s="49">
        <v>8</v>
      </c>
      <c r="C11" s="107"/>
      <c r="D11" s="107"/>
      <c r="E11" s="53" t="s">
        <v>922</v>
      </c>
      <c r="F11" s="51" t="s">
        <v>914</v>
      </c>
      <c r="G11" s="52"/>
    </row>
    <row r="12" spans="2:7" x14ac:dyDescent="0.3">
      <c r="B12" s="49">
        <v>9</v>
      </c>
      <c r="C12" s="107"/>
      <c r="D12" s="107" t="s">
        <v>923</v>
      </c>
      <c r="E12" s="53" t="s">
        <v>924</v>
      </c>
      <c r="F12" s="51" t="s">
        <v>919</v>
      </c>
      <c r="G12" s="52"/>
    </row>
    <row r="13" spans="2:7" x14ac:dyDescent="0.3">
      <c r="B13" s="49">
        <v>10</v>
      </c>
      <c r="C13" s="107"/>
      <c r="D13" s="107"/>
      <c r="E13" s="53" t="s">
        <v>925</v>
      </c>
      <c r="F13" s="51" t="s">
        <v>926</v>
      </c>
      <c r="G13" s="52"/>
    </row>
    <row r="14" spans="2:7" x14ac:dyDescent="0.3">
      <c r="B14" s="49">
        <v>11</v>
      </c>
      <c r="C14" s="107"/>
      <c r="D14" s="107"/>
      <c r="E14" s="53" t="s">
        <v>927</v>
      </c>
      <c r="F14" s="51" t="s">
        <v>928</v>
      </c>
      <c r="G14" s="52"/>
    </row>
    <row r="15" spans="2:7" x14ac:dyDescent="0.3">
      <c r="B15" s="49">
        <v>12</v>
      </c>
      <c r="C15" s="107"/>
      <c r="D15" s="107" t="s">
        <v>929</v>
      </c>
      <c r="E15" s="53" t="s">
        <v>930</v>
      </c>
      <c r="F15" s="51" t="s">
        <v>418</v>
      </c>
      <c r="G15" s="52"/>
    </row>
    <row r="16" spans="2:7" x14ac:dyDescent="0.3">
      <c r="B16" s="49">
        <v>13</v>
      </c>
      <c r="C16" s="107"/>
      <c r="D16" s="107"/>
      <c r="E16" s="53" t="s">
        <v>931</v>
      </c>
      <c r="F16" s="51" t="s">
        <v>418</v>
      </c>
      <c r="G16" s="52"/>
    </row>
    <row r="17" spans="2:7" x14ac:dyDescent="0.3">
      <c r="B17" s="49">
        <v>14</v>
      </c>
      <c r="C17" s="107"/>
      <c r="D17" s="107" t="s">
        <v>932</v>
      </c>
      <c r="E17" s="53" t="s">
        <v>933</v>
      </c>
      <c r="F17" s="51" t="s">
        <v>934</v>
      </c>
      <c r="G17" s="52"/>
    </row>
    <row r="18" spans="2:7" x14ac:dyDescent="0.3">
      <c r="B18" s="49">
        <v>15</v>
      </c>
      <c r="C18" s="107"/>
      <c r="D18" s="107"/>
      <c r="E18" s="53" t="s">
        <v>935</v>
      </c>
      <c r="F18" s="51" t="s">
        <v>934</v>
      </c>
      <c r="G18" s="52"/>
    </row>
    <row r="19" spans="2:7" x14ac:dyDescent="0.3">
      <c r="B19" s="49">
        <v>16</v>
      </c>
      <c r="C19" s="107"/>
      <c r="D19" s="107" t="s">
        <v>936</v>
      </c>
      <c r="E19" s="54" t="s">
        <v>937</v>
      </c>
      <c r="F19" s="51" t="s">
        <v>938</v>
      </c>
      <c r="G19" s="52"/>
    </row>
    <row r="20" spans="2:7" x14ac:dyDescent="0.3">
      <c r="B20" s="49">
        <v>17</v>
      </c>
      <c r="C20" s="107"/>
      <c r="D20" s="107"/>
      <c r="E20" s="53" t="s">
        <v>939</v>
      </c>
      <c r="F20" s="51" t="s">
        <v>938</v>
      </c>
      <c r="G20" s="52"/>
    </row>
    <row r="21" spans="2:7" x14ac:dyDescent="0.3">
      <c r="B21" s="49">
        <v>18</v>
      </c>
      <c r="C21" s="107"/>
      <c r="D21" s="107"/>
      <c r="E21" s="55" t="s">
        <v>940</v>
      </c>
      <c r="F21" s="64" t="s">
        <v>938</v>
      </c>
      <c r="G21" s="52"/>
    </row>
    <row r="22" spans="2:7" x14ac:dyDescent="0.3">
      <c r="B22" s="49">
        <v>19</v>
      </c>
      <c r="C22" s="107"/>
      <c r="D22" s="107"/>
      <c r="E22" s="53" t="s">
        <v>941</v>
      </c>
      <c r="F22" s="51" t="s">
        <v>942</v>
      </c>
      <c r="G22" s="52"/>
    </row>
    <row r="23" spans="2:7" x14ac:dyDescent="0.3">
      <c r="B23" s="49">
        <v>20</v>
      </c>
      <c r="C23" s="107"/>
      <c r="D23" s="107"/>
      <c r="E23" s="53" t="s">
        <v>943</v>
      </c>
      <c r="F23" s="51" t="s">
        <v>944</v>
      </c>
      <c r="G23" s="52"/>
    </row>
    <row r="24" spans="2:7" x14ac:dyDescent="0.3">
      <c r="B24" s="49">
        <v>21</v>
      </c>
      <c r="C24" s="107"/>
      <c r="D24" s="107"/>
      <c r="E24" s="53" t="s">
        <v>945</v>
      </c>
      <c r="F24" s="51" t="s">
        <v>944</v>
      </c>
      <c r="G24" s="52"/>
    </row>
    <row r="25" spans="2:7" x14ac:dyDescent="0.3">
      <c r="B25" s="49">
        <v>22</v>
      </c>
      <c r="C25" s="107" t="s">
        <v>946</v>
      </c>
      <c r="D25" s="107" t="s">
        <v>947</v>
      </c>
      <c r="E25" s="56" t="s">
        <v>948</v>
      </c>
      <c r="F25" s="51" t="s">
        <v>949</v>
      </c>
      <c r="G25" s="52"/>
    </row>
    <row r="26" spans="2:7" x14ac:dyDescent="0.3">
      <c r="B26" s="49">
        <v>23</v>
      </c>
      <c r="C26" s="107"/>
      <c r="D26" s="107"/>
      <c r="E26" s="56" t="s">
        <v>950</v>
      </c>
      <c r="F26" s="51" t="s">
        <v>951</v>
      </c>
      <c r="G26" s="52"/>
    </row>
    <row r="27" spans="2:7" x14ac:dyDescent="0.3">
      <c r="B27" s="49">
        <v>24</v>
      </c>
      <c r="C27" s="107"/>
      <c r="D27" s="107"/>
      <c r="E27" s="56" t="s">
        <v>952</v>
      </c>
      <c r="F27" s="51" t="s">
        <v>953</v>
      </c>
      <c r="G27" s="52"/>
    </row>
    <row r="28" spans="2:7" x14ac:dyDescent="0.3">
      <c r="B28" s="49">
        <v>25</v>
      </c>
      <c r="C28" s="107"/>
      <c r="D28" s="107"/>
      <c r="E28" s="53" t="s">
        <v>954</v>
      </c>
      <c r="F28" s="51" t="s">
        <v>955</v>
      </c>
      <c r="G28" s="52"/>
    </row>
    <row r="29" spans="2:7" x14ac:dyDescent="0.3">
      <c r="B29" s="49">
        <v>26</v>
      </c>
      <c r="C29" s="107"/>
      <c r="D29" s="107"/>
      <c r="E29" s="53" t="s">
        <v>956</v>
      </c>
      <c r="F29" s="51" t="s">
        <v>957</v>
      </c>
      <c r="G29" s="52"/>
    </row>
    <row r="30" spans="2:7" x14ac:dyDescent="0.3">
      <c r="B30" s="49">
        <v>27</v>
      </c>
      <c r="C30" s="107"/>
      <c r="D30" s="107"/>
      <c r="E30" s="53" t="s">
        <v>958</v>
      </c>
      <c r="F30" s="51" t="s">
        <v>959</v>
      </c>
      <c r="G30" s="52"/>
    </row>
    <row r="31" spans="2:7" x14ac:dyDescent="0.3">
      <c r="B31" s="49">
        <v>28</v>
      </c>
      <c r="C31" s="107"/>
      <c r="D31" s="107"/>
      <c r="E31" s="55" t="s">
        <v>960</v>
      </c>
      <c r="F31" s="51" t="s">
        <v>961</v>
      </c>
      <c r="G31" s="52"/>
    </row>
    <row r="32" spans="2:7" x14ac:dyDescent="0.3">
      <c r="B32" s="49">
        <v>29</v>
      </c>
      <c r="C32" s="107"/>
      <c r="D32" s="107"/>
      <c r="E32" s="55" t="s">
        <v>962</v>
      </c>
      <c r="F32" s="51" t="s">
        <v>961</v>
      </c>
      <c r="G32" s="52"/>
    </row>
    <row r="33" spans="2:7" x14ac:dyDescent="0.3">
      <c r="B33" s="49">
        <v>30</v>
      </c>
      <c r="C33" s="107"/>
      <c r="D33" s="107"/>
      <c r="E33" s="55" t="s">
        <v>963</v>
      </c>
      <c r="F33" s="51" t="s">
        <v>961</v>
      </c>
      <c r="G33" s="52"/>
    </row>
    <row r="34" spans="2:7" x14ac:dyDescent="0.3">
      <c r="B34" s="49">
        <v>31</v>
      </c>
      <c r="C34" s="107"/>
      <c r="D34" s="107"/>
      <c r="E34" s="55" t="s">
        <v>964</v>
      </c>
      <c r="F34" s="51" t="s">
        <v>965</v>
      </c>
      <c r="G34" s="52"/>
    </row>
    <row r="35" spans="2:7" x14ac:dyDescent="0.3">
      <c r="B35" s="49">
        <v>32</v>
      </c>
      <c r="C35" s="107"/>
      <c r="D35" s="107"/>
      <c r="E35" s="55" t="s">
        <v>966</v>
      </c>
      <c r="F35" s="51" t="s">
        <v>965</v>
      </c>
      <c r="G35" s="52"/>
    </row>
    <row r="36" spans="2:7" x14ac:dyDescent="0.3">
      <c r="B36" s="49">
        <v>33</v>
      </c>
      <c r="C36" s="107"/>
      <c r="D36" s="107"/>
      <c r="E36" s="55" t="s">
        <v>967</v>
      </c>
      <c r="F36" s="51" t="s">
        <v>968</v>
      </c>
      <c r="G36" s="52"/>
    </row>
    <row r="37" spans="2:7" x14ac:dyDescent="0.3">
      <c r="B37" s="49">
        <v>34</v>
      </c>
      <c r="C37" s="107"/>
      <c r="D37" s="107" t="s">
        <v>969</v>
      </c>
      <c r="E37" s="55" t="s">
        <v>970</v>
      </c>
      <c r="F37" s="51" t="s">
        <v>500</v>
      </c>
      <c r="G37" s="52"/>
    </row>
    <row r="38" spans="2:7" x14ac:dyDescent="0.3">
      <c r="B38" s="49">
        <v>35</v>
      </c>
      <c r="C38" s="107"/>
      <c r="D38" s="107"/>
      <c r="E38" s="55" t="s">
        <v>971</v>
      </c>
      <c r="F38" s="51" t="s">
        <v>500</v>
      </c>
      <c r="G38" s="52"/>
    </row>
    <row r="39" spans="2:7" x14ac:dyDescent="0.3">
      <c r="B39" s="49">
        <v>36</v>
      </c>
      <c r="C39" s="107"/>
      <c r="D39" s="51" t="s">
        <v>972</v>
      </c>
      <c r="E39" s="55" t="s">
        <v>973</v>
      </c>
      <c r="F39" s="51" t="s">
        <v>974</v>
      </c>
      <c r="G39" s="52"/>
    </row>
    <row r="40" spans="2:7" x14ac:dyDescent="0.3">
      <c r="B40" s="49">
        <v>37</v>
      </c>
      <c r="C40" s="107" t="s">
        <v>975</v>
      </c>
      <c r="D40" s="57" t="s">
        <v>976</v>
      </c>
      <c r="E40" s="56" t="s">
        <v>977</v>
      </c>
      <c r="F40" s="51" t="s">
        <v>978</v>
      </c>
      <c r="G40" s="52"/>
    </row>
    <row r="41" spans="2:7" x14ac:dyDescent="0.3">
      <c r="B41" s="49">
        <v>38</v>
      </c>
      <c r="C41" s="105"/>
      <c r="D41" s="108" t="s">
        <v>979</v>
      </c>
      <c r="E41" s="56" t="s">
        <v>980</v>
      </c>
      <c r="F41" s="51" t="s">
        <v>432</v>
      </c>
      <c r="G41" s="52"/>
    </row>
    <row r="42" spans="2:7" x14ac:dyDescent="0.3">
      <c r="B42" s="49">
        <v>39</v>
      </c>
      <c r="C42" s="105"/>
      <c r="D42" s="108"/>
      <c r="E42" s="56" t="s">
        <v>981</v>
      </c>
      <c r="F42" s="51" t="s">
        <v>432</v>
      </c>
      <c r="G42" s="52"/>
    </row>
    <row r="43" spans="2:7" x14ac:dyDescent="0.3">
      <c r="B43" s="49">
        <v>40</v>
      </c>
      <c r="C43" s="105"/>
      <c r="D43" s="108"/>
      <c r="E43" s="56" t="s">
        <v>982</v>
      </c>
      <c r="F43" s="51" t="s">
        <v>432</v>
      </c>
      <c r="G43" s="52"/>
    </row>
    <row r="44" spans="2:7" x14ac:dyDescent="0.3">
      <c r="B44" s="49">
        <v>41</v>
      </c>
      <c r="C44" s="105"/>
      <c r="D44" s="108"/>
      <c r="E44" s="56" t="s">
        <v>983</v>
      </c>
      <c r="F44" s="51" t="s">
        <v>432</v>
      </c>
      <c r="G44" s="52"/>
    </row>
    <row r="45" spans="2:7" x14ac:dyDescent="0.3">
      <c r="B45" s="49">
        <v>42</v>
      </c>
      <c r="C45" s="105"/>
      <c r="D45" s="108"/>
      <c r="E45" s="56" t="s">
        <v>984</v>
      </c>
      <c r="F45" s="51" t="s">
        <v>985</v>
      </c>
      <c r="G45" s="52"/>
    </row>
    <row r="46" spans="2:7" x14ac:dyDescent="0.3">
      <c r="B46" s="49">
        <v>43</v>
      </c>
      <c r="C46" s="105"/>
      <c r="D46" s="108"/>
      <c r="E46" s="56" t="s">
        <v>986</v>
      </c>
      <c r="F46" s="51" t="s">
        <v>987</v>
      </c>
      <c r="G46" s="52"/>
    </row>
    <row r="47" spans="2:7" x14ac:dyDescent="0.3">
      <c r="B47" s="49">
        <v>44</v>
      </c>
      <c r="C47" s="105"/>
      <c r="D47" s="108"/>
      <c r="E47" s="56" t="s">
        <v>988</v>
      </c>
      <c r="F47" s="51" t="s">
        <v>987</v>
      </c>
      <c r="G47" s="52"/>
    </row>
    <row r="48" spans="2:7" x14ac:dyDescent="0.3">
      <c r="B48" s="49">
        <v>45</v>
      </c>
      <c r="C48" s="105"/>
      <c r="D48" s="108"/>
      <c r="E48" s="56" t="s">
        <v>989</v>
      </c>
      <c r="F48" s="51" t="s">
        <v>987</v>
      </c>
      <c r="G48" s="52"/>
    </row>
    <row r="49" spans="2:7" x14ac:dyDescent="0.3">
      <c r="B49" s="49">
        <v>46</v>
      </c>
      <c r="C49" s="105"/>
      <c r="D49" s="108"/>
      <c r="E49" s="56" t="s">
        <v>990</v>
      </c>
      <c r="F49" s="51" t="s">
        <v>987</v>
      </c>
      <c r="G49" s="52"/>
    </row>
    <row r="50" spans="2:7" x14ac:dyDescent="0.3">
      <c r="B50" s="49">
        <v>47</v>
      </c>
      <c r="C50" s="105"/>
      <c r="D50" s="108"/>
      <c r="E50" s="56" t="s">
        <v>991</v>
      </c>
      <c r="F50" s="51" t="s">
        <v>987</v>
      </c>
      <c r="G50" s="52"/>
    </row>
    <row r="51" spans="2:7" x14ac:dyDescent="0.3">
      <c r="B51" s="49">
        <v>48</v>
      </c>
      <c r="C51" s="105"/>
      <c r="D51" s="108"/>
      <c r="E51" s="56" t="s">
        <v>992</v>
      </c>
      <c r="F51" s="51" t="s">
        <v>987</v>
      </c>
      <c r="G51" s="52"/>
    </row>
    <row r="52" spans="2:7" x14ac:dyDescent="0.3">
      <c r="B52" s="49">
        <v>49</v>
      </c>
      <c r="C52" s="105"/>
      <c r="D52" s="108"/>
      <c r="E52" s="56" t="s">
        <v>993</v>
      </c>
      <c r="F52" s="51" t="s">
        <v>994</v>
      </c>
      <c r="G52" s="52"/>
    </row>
    <row r="53" spans="2:7" x14ac:dyDescent="0.3">
      <c r="B53" s="49">
        <v>50</v>
      </c>
      <c r="C53" s="105"/>
      <c r="D53" s="108"/>
      <c r="E53" s="56" t="s">
        <v>995</v>
      </c>
      <c r="F53" s="51" t="s">
        <v>996</v>
      </c>
      <c r="G53" s="52"/>
    </row>
    <row r="54" spans="2:7" x14ac:dyDescent="0.3">
      <c r="B54" s="49">
        <v>51</v>
      </c>
      <c r="C54" s="105"/>
      <c r="D54" s="108" t="s">
        <v>997</v>
      </c>
      <c r="E54" s="56" t="s">
        <v>998</v>
      </c>
      <c r="F54" s="51" t="s">
        <v>999</v>
      </c>
      <c r="G54" s="52"/>
    </row>
    <row r="55" spans="2:7" x14ac:dyDescent="0.3">
      <c r="B55" s="49">
        <v>52</v>
      </c>
      <c r="C55" s="105"/>
      <c r="D55" s="108"/>
      <c r="E55" s="56" t="s">
        <v>1000</v>
      </c>
      <c r="F55" s="51" t="s">
        <v>999</v>
      </c>
      <c r="G55" s="52"/>
    </row>
    <row r="56" spans="2:7" x14ac:dyDescent="0.3">
      <c r="B56" s="49">
        <v>53</v>
      </c>
      <c r="C56" s="105"/>
      <c r="D56" s="108"/>
      <c r="E56" s="56" t="s">
        <v>1001</v>
      </c>
      <c r="F56" s="51" t="s">
        <v>1002</v>
      </c>
      <c r="G56" s="52"/>
    </row>
    <row r="57" spans="2:7" x14ac:dyDescent="0.3">
      <c r="B57" s="49">
        <v>54</v>
      </c>
      <c r="C57" s="105"/>
      <c r="D57" s="108"/>
      <c r="E57" s="56" t="s">
        <v>1003</v>
      </c>
      <c r="F57" s="51" t="s">
        <v>1004</v>
      </c>
      <c r="G57" s="52"/>
    </row>
    <row r="58" spans="2:7" x14ac:dyDescent="0.3">
      <c r="B58" s="49">
        <v>55</v>
      </c>
      <c r="C58" s="105"/>
      <c r="D58" s="108"/>
      <c r="E58" s="56" t="s">
        <v>1005</v>
      </c>
      <c r="F58" s="51" t="s">
        <v>1004</v>
      </c>
      <c r="G58" s="52"/>
    </row>
    <row r="59" spans="2:7" x14ac:dyDescent="0.3">
      <c r="B59" s="49">
        <v>56</v>
      </c>
      <c r="C59" s="105"/>
      <c r="D59" s="108"/>
      <c r="E59" s="56" t="s">
        <v>1006</v>
      </c>
      <c r="F59" s="51" t="s">
        <v>1004</v>
      </c>
      <c r="G59" s="52"/>
    </row>
    <row r="60" spans="2:7" x14ac:dyDescent="0.3">
      <c r="B60" s="49">
        <v>57</v>
      </c>
      <c r="C60" s="105"/>
      <c r="D60" s="108" t="s">
        <v>969</v>
      </c>
      <c r="E60" s="56" t="s">
        <v>1007</v>
      </c>
      <c r="F60" s="51" t="s">
        <v>1008</v>
      </c>
      <c r="G60" s="52"/>
    </row>
    <row r="61" spans="2:7" x14ac:dyDescent="0.3">
      <c r="B61" s="49">
        <v>58</v>
      </c>
      <c r="C61" s="105"/>
      <c r="D61" s="108"/>
      <c r="E61" s="56" t="s">
        <v>1009</v>
      </c>
      <c r="F61" s="51" t="s">
        <v>1008</v>
      </c>
      <c r="G61" s="52"/>
    </row>
    <row r="62" spans="2:7" x14ac:dyDescent="0.3">
      <c r="B62" s="49">
        <v>59</v>
      </c>
      <c r="C62" s="105" t="s">
        <v>1010</v>
      </c>
      <c r="D62" s="105" t="s">
        <v>947</v>
      </c>
      <c r="E62" s="56" t="s">
        <v>1011</v>
      </c>
      <c r="F62" s="51" t="s">
        <v>1012</v>
      </c>
      <c r="G62" s="52"/>
    </row>
    <row r="63" spans="2:7" x14ac:dyDescent="0.3">
      <c r="B63" s="49">
        <v>60</v>
      </c>
      <c r="C63" s="105"/>
      <c r="D63" s="105"/>
      <c r="E63" s="56" t="s">
        <v>1013</v>
      </c>
      <c r="F63" s="51" t="s">
        <v>1014</v>
      </c>
      <c r="G63" s="52"/>
    </row>
    <row r="64" spans="2:7" x14ac:dyDescent="0.3">
      <c r="B64" s="49">
        <v>61</v>
      </c>
      <c r="C64" s="105"/>
      <c r="D64" s="105"/>
      <c r="E64" s="56" t="s">
        <v>1015</v>
      </c>
      <c r="F64" s="51" t="s">
        <v>1016</v>
      </c>
      <c r="G64" s="52"/>
    </row>
    <row r="65" spans="2:7" ht="17.25" thickBot="1" x14ac:dyDescent="0.35">
      <c r="B65" s="58">
        <v>62</v>
      </c>
      <c r="C65" s="106"/>
      <c r="D65" s="106"/>
      <c r="E65" s="59" t="s">
        <v>1017</v>
      </c>
      <c r="F65" s="60" t="s">
        <v>1018</v>
      </c>
      <c r="G65" s="61"/>
    </row>
  </sheetData>
  <mergeCells count="17">
    <mergeCell ref="B1:G1"/>
    <mergeCell ref="C4:C24"/>
    <mergeCell ref="D4:D7"/>
    <mergeCell ref="D8:D11"/>
    <mergeCell ref="D12:D14"/>
    <mergeCell ref="D15:D16"/>
    <mergeCell ref="D17:D18"/>
    <mergeCell ref="D19:D24"/>
    <mergeCell ref="C62:C65"/>
    <mergeCell ref="D62:D65"/>
    <mergeCell ref="C25:C39"/>
    <mergeCell ref="D25:D36"/>
    <mergeCell ref="D37:D38"/>
    <mergeCell ref="C40:C61"/>
    <mergeCell ref="D41:D53"/>
    <mergeCell ref="D54:D59"/>
    <mergeCell ref="D60:D61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A2565A2BE4F6242892B8B872AC4980B" ma:contentTypeVersion="13" ma:contentTypeDescription="새 문서를 만듭니다." ma:contentTypeScope="" ma:versionID="5fb0c3c83247f5f4350712d3a62438ef">
  <xsd:schema xmlns:xsd="http://www.w3.org/2001/XMLSchema" xmlns:xs="http://www.w3.org/2001/XMLSchema" xmlns:p="http://schemas.microsoft.com/office/2006/metadata/properties" xmlns:ns2="80c45edd-c7e1-4996-9931-23e3c16ef7ec" xmlns:ns3="fb82b403-5892-454d-8736-1c08c03b58f3" targetNamespace="http://schemas.microsoft.com/office/2006/metadata/properties" ma:root="true" ma:fieldsID="1b758946b0e3e0354a6fb58a81a80dc6" ns2:_="" ns3:_="">
    <xsd:import namespace="80c45edd-c7e1-4996-9931-23e3c16ef7ec"/>
    <xsd:import namespace="fb82b403-5892-454d-8736-1c08c03b5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45edd-c7e1-4996-9931-23e3c16ef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1cfda9b7-a1e3-44a6-bb0a-779fa9ad4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2b403-5892-454d-8736-1c08c03b58f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c9b5903-ea03-493e-8f85-8684a4b8220e}" ma:internalName="TaxCatchAll" ma:showField="CatchAllData" ma:web="fb82b403-5892-454d-8736-1c08c03b58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82b403-5892-454d-8736-1c08c03b58f3" xsi:nil="true"/>
    <lcf76f155ced4ddcb4097134ff3c332f xmlns="80c45edd-c7e1-4996-9931-23e3c16ef7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D23D0A-A984-4F47-ADB7-A993212801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8DAC03-E3A2-484C-8B0F-BFD1D13C2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c45edd-c7e1-4996-9931-23e3c16ef7ec"/>
    <ds:schemaRef ds:uri="fb82b403-5892-454d-8736-1c08c03b58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C7036E-2529-414D-862A-FC065A96BFF0}">
  <ds:schemaRefs>
    <ds:schemaRef ds:uri="http://schemas.openxmlformats.org/package/2006/metadata/core-properties"/>
    <ds:schemaRef ds:uri="80c45edd-c7e1-4996-9931-23e3c16ef7ec"/>
    <ds:schemaRef ds:uri="http://schemas.microsoft.com/office/2006/documentManagement/types"/>
    <ds:schemaRef ds:uri="http://schemas.microsoft.com/office/infopath/2007/PartnerControls"/>
    <ds:schemaRef ds:uri="fb82b403-5892-454d-8736-1c08c03b58f3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표지</vt:lpstr>
      <vt:lpstr>1. 요구사항 총괄표</vt:lpstr>
      <vt:lpstr>2. 요구사항 정의서</vt:lpstr>
      <vt:lpstr>3. 요건기술서 전체</vt:lpstr>
      <vt:lpstr>4. 산출물 목록</vt:lpstr>
      <vt:lpstr>'2. 요구사항 정의서'!Print_Area</vt:lpstr>
      <vt:lpstr>'1. 요구사항 총괄표'!Print_Titles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주형민</dc:creator>
  <cp:lastModifiedBy>위행기</cp:lastModifiedBy>
  <cp:lastPrinted>2026-04-15T08:23:44Z</cp:lastPrinted>
  <dcterms:created xsi:type="dcterms:W3CDTF">2015-06-05T18:19:34Z</dcterms:created>
  <dcterms:modified xsi:type="dcterms:W3CDTF">2026-04-16T01:22:51Z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0x010100FA2565A2BE4F6242892B8B872AC4980B</vt:lpwstr>
  </property>
  <property fmtid="{D5CDD505-2E9C-101B-9397-08002B2CF9AE}" pid="3" name="MediaServiceImageTags">
    <vt:lpwstr/>
  </property>
</Properties>
</file>